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RP.PROCESOS\Box\EBC\EBC AI\EBC AI BASES\EBC ADICIONALES\"/>
    </mc:Choice>
  </mc:AlternateContent>
  <xr:revisionPtr revIDLastSave="0" documentId="13_ncr:1_{33CED3CD-8BE9-4A5C-AF50-24194B15B494}" xr6:coauthVersionLast="47" xr6:coauthVersionMax="47" xr10:uidLastSave="{00000000-0000-0000-0000-000000000000}"/>
  <bookViews>
    <workbookView xWindow="-120" yWindow="-120" windowWidth="29040" windowHeight="17640" activeTab="5" xr2:uid="{D4BE2A50-6C28-4A5B-85CB-CFBE2F6FA483}"/>
  </bookViews>
  <sheets>
    <sheet name="Items" sheetId="5" r:id="rId1"/>
    <sheet name="Costos" sheetId="3" r:id="rId2"/>
    <sheet name="Kardex" sheetId="2" r:id="rId3"/>
    <sheet name="Requisiciones" sheetId="8" r:id="rId4"/>
    <sheet name="DosSemanas" sheetId="9" r:id="rId5"/>
    <sheet name="PARAMETROS" sheetId="1" r:id="rId6"/>
  </sheets>
  <definedNames>
    <definedName name="DatosExternos_1" localSheetId="4" hidden="1">DosSemanas!$A$1:$D$2</definedName>
    <definedName name="DatosExternos_1" localSheetId="2" hidden="1">Kardex!$A$1:$F$151</definedName>
    <definedName name="DatosExternos_2" localSheetId="1" hidden="1">'Costos'!$A$1:$D$1605</definedName>
    <definedName name="DatosExternos_2" localSheetId="3" hidden="1">'Requisiciones'!$A$1:$F$76</definedName>
    <definedName name="DatosExternos_4" localSheetId="0" hidden="1">Items!$A$1:$E$76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C18" i="1" s="1"/>
  <c r="C19" i="1" s="1"/>
  <c r="F3" i="1"/>
  <c r="E3" i="1"/>
  <c r="G3" i="1"/>
  <c r="O3" i="1"/>
  <c r="N3" i="1"/>
  <c r="H3" i="1" l="1"/>
  <c r="L3" i="1"/>
  <c r="M3" i="1"/>
  <c r="C20" i="1"/>
  <c r="J3" i="1" l="1"/>
  <c r="I3" i="1"/>
  <c r="C21" i="1"/>
  <c r="K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8FB398-07FC-48E6-A153-0D88CA0FFAD9}" keepAlive="1" name="Consulta - _MovimientosA" description="Conexión a la consulta '_MovimientosA' en el libro." type="5" refreshedVersion="0" background="1">
    <dbPr connection="Provider=Microsoft.Mashup.OleDb.1;Data Source=$Workbook$;Location=_MovimientosA;Extended Properties=&quot;&quot;" command="SELECT * FROM [_MovimientosA]"/>
  </connection>
  <connection id="2" xr16:uid="{35FE6CB9-9A27-4BF0-934D-F049F83C8DDB}" keepAlive="1" name="Consulta - _MovimientosB" description="Conexión a la consulta '_MovimientosB' en el libro." type="5" refreshedVersion="0" background="1">
    <dbPr connection="Provider=Microsoft.Mashup.OleDb.1;Data Source=$Workbook$;Location=_MovimientosB;Extended Properties=&quot;&quot;" command="SELECT * FROM [_MovimientosB]"/>
  </connection>
  <connection id="3" xr16:uid="{DB205380-7AA1-4838-8B9F-EF07CE558195}" keepAlive="1" name="Consulta - AÑOSEM" description="Conexión a la consulta 'AÑOSEM' en el libro." type="5" refreshedVersion="0" background="1">
    <dbPr connection="Provider=Microsoft.Mashup.OleDb.1;Data Source=$Workbook$;Location=AÑOSEM;Extended Properties=&quot;&quot;" command="SELECT * FROM [AÑOSEM]"/>
  </connection>
  <connection id="4" xr16:uid="{3BB2BBAC-BA2F-4800-A5D3-E08E56D564EA}" keepAlive="1" name="Consulta - Costos" description="Conexión a la consulta 'Costos' en el libro." type="5" refreshedVersion="8" saveData="1">
    <dbPr connection="Provider=Microsoft.Mashup.OleDb.1;Data Source=$Workbook$;Location=Costos;Extended Properties=&quot;&quot;" command="SELECT * FROM [Costos]"/>
  </connection>
  <connection id="5" xr16:uid="{32029D62-7B85-453A-BE5A-715C61CD1D42}" keepAlive="1" name="Consulta - DosSemanas" description="Conexión a la consulta 'DosSemanas' en el libro." type="5" refreshedVersion="8" saveData="1">
    <dbPr connection="Provider=Microsoft.Mashup.OleDb.1;Data Source=$Workbook$;Location=DosSemanas;Extended Properties=&quot;&quot;" command="SELECT * FROM [DosSemanas]"/>
  </connection>
  <connection id="6" xr16:uid="{A05C86F7-2337-4213-8778-5B8B600FFEA7}" keepAlive="1" name="Consulta - ERP" description="Conexión a la consulta 'ERP' en el libro." type="5" refreshedVersion="0" background="1">
    <dbPr connection="Provider=Microsoft.Mashup.OleDb.1;Data Source=$Workbook$;Location=ERP;Extended Properties=&quot;&quot;" command="SELECT * FROM [ERP]"/>
  </connection>
  <connection id="7" xr16:uid="{C9C8BE5F-9D35-4ED3-A38E-5C4508F51B96}" keepAlive="1" name="Consulta - GRUPO_PLANTA" description="Conexión a la consulta 'GRUPO_PLANTA' en el libro." type="5" refreshedVersion="0" background="1">
    <dbPr connection="Provider=Microsoft.Mashup.OleDb.1;Data Source=$Workbook$;Location=GRUPO_PLANTA;Extended Properties=&quot;&quot;" command="SELECT * FROM [GRUPO_PLANTA]"/>
  </connection>
  <connection id="8" xr16:uid="{8432853C-B3AD-4FDB-8CA9-BF8E9B0B348A}" keepAlive="1" name="Consulta - Items" description="Conexión a la consulta 'Items' en el libro." type="5" refreshedVersion="8" saveData="1">
    <dbPr connection="Provider=Microsoft.Mashup.OleDb.1;Data Source=$Workbook$;Location=Items;Extended Properties=&quot;&quot;" command="SELECT * FROM [Items]"/>
  </connection>
  <connection id="9" xr16:uid="{38E2BC24-951E-4FD8-81CC-299FE65E340D}" keepAlive="1" name="Consulta - ITEMSVALIDOS" description="Conexión a la consulta 'ITEMSVALIDOS' en el libro." type="5" refreshedVersion="8" background="1" saveData="1">
    <dbPr connection="Provider=Microsoft.Mashup.OleDb.1;Data Source=$Workbook$;Location=ITEMSVALIDOS;Extended Properties=&quot;&quot;" command="SELECT * FROM [ITEMSVALIDOS]"/>
  </connection>
  <connection id="10" xr16:uid="{D2BFB791-6450-4F6E-BD5E-9FB9C06B00F1}" keepAlive="1" name="Consulta - Kardex" description="Conexión a la consulta 'Kardex' en el libro." type="5" refreshedVersion="8" saveData="1">
    <dbPr connection="Provider=Microsoft.Mashup.OleDb.1;Data Source=$Workbook$;Location=Kardex;Extended Properties=&quot;&quot;" command="SELECT * FROM [Kardex]"/>
  </connection>
  <connection id="11" xr16:uid="{3F125F9C-B1F4-41A5-A2D1-AC29F39BB2BB}" keepAlive="1" name="Consulta - OPERACION" description="Conexión a la consulta 'OPERACION' en el libro." type="5" refreshedVersion="0" background="1">
    <dbPr connection="Provider=Microsoft.Mashup.OleDb.1;Data Source=$Workbook$;Location=OPERACION;Extended Properties=&quot;&quot;" command="SELECT * FROM [OPERACION]"/>
  </connection>
  <connection id="12" xr16:uid="{0EBEDAB3-517B-45F1-AB2D-CD79A12F4F41}" keepAlive="1" name="Consulta - Requisiciones" description="Conexión a la consulta 'Requisiciones' en el libro." type="5" refreshedVersion="0" saveData="1">
    <dbPr connection="Provider=Microsoft.Mashup.OleDb.1;Data Source=$Workbook$;Location=Requisiciones;Extended Properties=&quot;&quot;" command="SELECT * FROM [Requisiciones]"/>
  </connection>
  <connection id="13" xr16:uid="{9926DB09-3A55-42C1-B7B2-9515A01F2E2F}" keepAlive="1" name="Consulta - Requisiciones1" description="Conexión a la consulta 'Requisiciones' en el libro." type="5" refreshedVersion="8" saveData="1">
    <dbPr connection="Provider=Microsoft.Mashup.OleDb.1;Data Source=$Workbook$;Location=Requisiciones;Extended Properties=&quot;&quot;" command="SELECT * FROM [Requisiciones]"/>
  </connection>
  <connection id="14" xr16:uid="{EC8301C6-C525-483A-9878-62E400BF7B7C}" keepAlive="1" name="Consulta - RequisicionesSA" description="Conexión a la consulta 'RequisicionesSA' en el libro." type="5" refreshedVersion="0" background="1">
    <dbPr connection="Provider=Microsoft.Mashup.OleDb.1;Data Source=$Workbook$;Location=RequisicionesSA;Extended Properties=&quot;&quot;" command="SELECT * FROM [RequisicionesSA]"/>
  </connection>
  <connection id="15" xr16:uid="{7958E6E4-451B-4393-BD43-7D92BD2AF758}" keepAlive="1" name="Consulta - RQ_A" description="Conexión a la consulta 'RQ_A' en el libro." type="5" refreshedVersion="0" background="1">
    <dbPr connection="Provider=Microsoft.Mashup.OleDb.1;Data Source=$Workbook$;Location=RQ_A;Extended Properties=&quot;&quot;" command="SELECT * FROM [RQ_A]"/>
  </connection>
  <connection id="16" xr16:uid="{F23726B3-0066-4059-8D1C-2C06F7DA0E9C}" keepAlive="1" name="Consulta - RQ_A_ANT" description="Conexión a la consulta 'RQ_A_ANT' en el libro." type="5" refreshedVersion="0" background="1">
    <dbPr connection="Provider=Microsoft.Mashup.OleDb.1;Data Source=$Workbook$;Location=RQ_A_ANT;Extended Properties=&quot;&quot;" command="SELECT * FROM [RQ_A_ANT]"/>
  </connection>
  <connection id="17" xr16:uid="{00C71DE9-D999-467F-B798-D8777BF839EF}" keepAlive="1" name="Consulta - RQ_B" description="Conexión a la consulta 'RQ_B' en el libro." type="5" refreshedVersion="0" saveData="1">
    <dbPr connection="Provider=Microsoft.Mashup.OleDb.1;Data Source=$Workbook$;Location=RQ_B;Extended Properties=&quot;&quot;" command="SELECT * FROM [RQ_B]"/>
  </connection>
  <connection id="18" xr16:uid="{2F5AAE35-0E06-4739-8344-23791BF13CA2}" keepAlive="1" name="Consulta - RQ_B_ANT" description="Conexión a la consulta 'RQ_B_ANT' en el libro." type="5" refreshedVersion="0" background="1">
    <dbPr connection="Provider=Microsoft.Mashup.OleDb.1;Data Source=$Workbook$;Location=RQ_B_ANT;Extended Properties=&quot;&quot;" command="SELECT * FROM [RQ_B_ANT]"/>
  </connection>
  <connection id="19" xr16:uid="{721E6DA3-AF1A-4037-AFF1-E12EDCCCC684}" keepAlive="1" name="Consulta - RUTA_COSTOS" description="Conexión a la consulta 'RUTA_COSTOS' en el libro." type="5" refreshedVersion="0" background="1">
    <dbPr connection="Provider=Microsoft.Mashup.OleDb.1;Data Source=$Workbook$;Location=RUTA_COSTOS;Extended Properties=&quot;&quot;" command="SELECT * FROM [RUTA_COSTOS]"/>
  </connection>
  <connection id="20" xr16:uid="{D1E450A9-B1CE-414B-82D1-FD5C1CFCC545}" keepAlive="1" name="Consulta - RUTA_ITEMS" description="Conexión a la consulta 'RUTA_ITEMS' en el libro." type="5" refreshedVersion="0" background="1">
    <dbPr connection="Provider=Microsoft.Mashup.OleDb.1;Data Source=$Workbook$;Location=RUTA_ITEMS;Extended Properties=&quot;&quot;" command="SELECT * FROM [RUTA_ITEMS]"/>
  </connection>
  <connection id="21" xr16:uid="{CA10C8CA-650F-4EAE-8CE5-4BD9CA3E9CCE}" keepAlive="1" name="Consulta - RUTA_KARDEX" description="Conexión a la consulta 'RUTA_KARDEX' en el libro." type="5" refreshedVersion="0" background="1">
    <dbPr connection="Provider=Microsoft.Mashup.OleDb.1;Data Source=$Workbook$;Location=RUTA_KARDEX;Extended Properties=&quot;&quot;" command="SELECT * FROM [RUTA_KARDEX]"/>
  </connection>
  <connection id="22" xr16:uid="{B20894CD-8AC2-4875-8A59-DBF0A659BBB7}" keepAlive="1" name="Consulta - RUTA_RQ" description="Conexión a la consulta 'RUTA_RQ' en el libro." type="5" refreshedVersion="8" background="1" saveData="1">
    <dbPr connection="Provider=Microsoft.Mashup.OleDb.1;Data Source=$Workbook$;Location=RUTA_RQ;Extended Properties=&quot;&quot;" command="SELECT * FROM [RUTA_RQ]"/>
  </connection>
  <connection id="23" xr16:uid="{0B9066E4-433E-4D4D-9E29-F6EE90D45574}" keepAlive="1" name="Consulta - RUTA_RQ_SEM_ANT" description="Conexión a la consulta 'RUTA_RQ_SEM_ANT' en el libro." type="5" refreshedVersion="0" background="1">
    <dbPr connection="Provider=Microsoft.Mashup.OleDb.1;Data Source=$Workbook$;Location=RUTA_RQ_SEM_ANT;Extended Properties=&quot;&quot;" command="SELECT * FROM [RUTA_RQ_SEM_ANT]"/>
  </connection>
  <connection id="24" xr16:uid="{12AC2163-F707-4884-9920-B3947B41566F}" keepAlive="1" name="Consulta - TRXVALIDAS" description="Conexión a la consulta 'TRXVALIDAS' en el libro." type="5" refreshedVersion="0" background="1">
    <dbPr connection="Provider=Microsoft.Mashup.OleDb.1;Data Source=$Workbook$;Location=TRXVALIDAS;Extended Properties=&quot;&quot;" command="SELECT * FROM [TRXVALIDAS]"/>
  </connection>
</connections>
</file>

<file path=xl/sharedStrings.xml><?xml version="1.0" encoding="utf-8"?>
<sst xmlns="http://schemas.openxmlformats.org/spreadsheetml/2006/main" count="3938" uniqueCount="136">
  <si>
    <t>OPERACION</t>
  </si>
  <si>
    <t>ERP</t>
  </si>
  <si>
    <t>SEMACT</t>
  </si>
  <si>
    <t>AÑOACT</t>
  </si>
  <si>
    <t>AÑOSEM</t>
  </si>
  <si>
    <t>SOCIEDAD</t>
  </si>
  <si>
    <t>ITEM</t>
  </si>
  <si>
    <t>TRANSACCION</t>
  </si>
  <si>
    <t>CANTIDAD</t>
  </si>
  <si>
    <t>IMPORTE</t>
  </si>
  <si>
    <t>TRE</t>
  </si>
  <si>
    <t>VTA</t>
  </si>
  <si>
    <t>PRE</t>
  </si>
  <si>
    <t>TRX</t>
  </si>
  <si>
    <t>COSTO</t>
  </si>
  <si>
    <t>NOMBRE</t>
  </si>
  <si>
    <t>GRUPO COMPRA</t>
  </si>
  <si>
    <t>ABARROTES</t>
  </si>
  <si>
    <t>POLVO DE CACAO X KG</t>
  </si>
  <si>
    <t>AZUCAR RUBIA DE SACHET X 5GR.</t>
  </si>
  <si>
    <t>EDULCORANTE SIN CALORIAS X 1 GR</t>
  </si>
  <si>
    <t>FRUTAS Y VERDURAS</t>
  </si>
  <si>
    <t>LIMON X KG</t>
  </si>
  <si>
    <t>TRANSFORMACIONES</t>
  </si>
  <si>
    <t>SERVILLETAS ELITE (360854) 33*33 X 100 UND</t>
  </si>
  <si>
    <t>LIMPIEZA</t>
  </si>
  <si>
    <t>VINOS</t>
  </si>
  <si>
    <t>NO ALCOHOLICAS</t>
  </si>
  <si>
    <t>NON FOOD</t>
  </si>
  <si>
    <t>RH PREP</t>
  </si>
  <si>
    <t>RH PANADERIA</t>
  </si>
  <si>
    <t>STEVIA X 1 GR</t>
  </si>
  <si>
    <t>RH REPOSTERIA</t>
  </si>
  <si>
    <t>RUTA_KARDEX</t>
  </si>
  <si>
    <t>RUTA_COSTOS</t>
  </si>
  <si>
    <t>RUTA_ITEMS</t>
  </si>
  <si>
    <t>RUTA_RQ</t>
  </si>
  <si>
    <t>Item</t>
  </si>
  <si>
    <t>CONSUMO PROY SEM ANT</t>
  </si>
  <si>
    <t>CONSUMO PROY SEM ACT</t>
  </si>
  <si>
    <t>GRUPO_PLANTA</t>
  </si>
  <si>
    <t>GESTION</t>
  </si>
  <si>
    <t>COMPRAS</t>
  </si>
  <si>
    <t>Hoy</t>
  </si>
  <si>
    <t>Lunes</t>
  </si>
  <si>
    <t>Año</t>
  </si>
  <si>
    <t>Semana</t>
  </si>
  <si>
    <t>VENTA</t>
  </si>
  <si>
    <t>SOBRANTE</t>
  </si>
  <si>
    <t>PLATANO DE SEDA X UND</t>
  </si>
  <si>
    <t>FLOR DE JAMAICA X KG</t>
  </si>
  <si>
    <t>LECHE DE ALMENDRAS X 946 ML</t>
  </si>
  <si>
    <t>GALLETA OREO TORRE X 108 GR</t>
  </si>
  <si>
    <t>RUTA_RQ_ANTERIOR</t>
  </si>
  <si>
    <t>AÑOANT</t>
  </si>
  <si>
    <t>SEMANT</t>
  </si>
  <si>
    <t>AÑOSEMANT</t>
  </si>
  <si>
    <t>AJUSTE SEM ACT</t>
  </si>
  <si>
    <t>AJUSTE SEM ANT</t>
  </si>
  <si>
    <t>Menos 10 Semanas</t>
  </si>
  <si>
    <t>GB</t>
  </si>
  <si>
    <t>BOLSA DE HIELO X 3KG</t>
  </si>
  <si>
    <t>CUCHILLO DESCARTABLE  X UND</t>
  </si>
  <si>
    <t>REMOVEDORES X 100UNID.</t>
  </si>
  <si>
    <t>FRESA ENTERA CONGELADA X KG</t>
  </si>
  <si>
    <t>JARABE DE GOMA X 750 ML</t>
  </si>
  <si>
    <t>LECHE DE AVENA X 946 ML</t>
  </si>
  <si>
    <t>PIÑA CONGELADA X KG</t>
  </si>
  <si>
    <t>FUDGE HELADERO X 550 GR</t>
  </si>
  <si>
    <t>SORBETE DELGADO X PQTE</t>
  </si>
  <si>
    <t>SORBETE GRUESO X PQTE</t>
  </si>
  <si>
    <t>JACKET DSALA TROQUELADO 12 ONZ X UND</t>
  </si>
  <si>
    <t>JACKET DSALA TROQUELADO 8 ONZ X UND</t>
  </si>
  <si>
    <t>CAFE TOSTADO</t>
  </si>
  <si>
    <t>DS RH CAFE TOSTADO ESPRESSO BLEND X KG</t>
  </si>
  <si>
    <t>DS RH COLD BREW - PETACA</t>
  </si>
  <si>
    <t>DS RH COLD BREW - LITRO</t>
  </si>
  <si>
    <t>DS RH BROWNIE X UND</t>
  </si>
  <si>
    <t>DS RH GALLETA CHOCOCHIPS X UND</t>
  </si>
  <si>
    <t>DS RH MOLDE KEKE DE ZANAHORIA X UND</t>
  </si>
  <si>
    <t>DS RH EMPANADA DE CARNE X UND</t>
  </si>
  <si>
    <t>DS RH EMPANADA DE POLLO X UND</t>
  </si>
  <si>
    <t>DS RH CROISSANT X UND</t>
  </si>
  <si>
    <t>DS RH ENROLLADO DE CANELA X UND</t>
  </si>
  <si>
    <t>VASOS TRANSPARENTES 12 OZ X PQTE</t>
  </si>
  <si>
    <t>DS VASOS DE 4 OZ X UND</t>
  </si>
  <si>
    <t>DS TAPAS DE 12 OZ X UND</t>
  </si>
  <si>
    <t>DS TAPAS DE 8 OZ X UND</t>
  </si>
  <si>
    <t>DS TAPAS DE 4 OZ X UND</t>
  </si>
  <si>
    <t>DS BOLSA BLANCA SIN LOGO - FUELLER</t>
  </si>
  <si>
    <t>DS CAFE DESCAFEINADO X KG</t>
  </si>
  <si>
    <t>DS RH EMPANADA MIXTA X UND</t>
  </si>
  <si>
    <t>CHOCOLATE HERSHEY X 40 GR</t>
  </si>
  <si>
    <t>DS RH CAFE TIMBUYACU X KG</t>
  </si>
  <si>
    <t>DS RH CAFE MENDOZA X KG</t>
  </si>
  <si>
    <t>LA PANNA CREMA CHANTILLY SPRAY X 265 ML</t>
  </si>
  <si>
    <t>DS RH PISTACHO MOLIDO X KG</t>
  </si>
  <si>
    <t>MATCHA EN POLVO X 50 GR</t>
  </si>
  <si>
    <t>CREMA DE PISTACHO X 5 KG</t>
  </si>
  <si>
    <t>HIELO KOLD DRAFT X KG</t>
  </si>
  <si>
    <t>DS RH GALLETA DE AVENA X UND</t>
  </si>
  <si>
    <t>DS RH GALLETA DIAMANTE CHOCOLATE X UND</t>
  </si>
  <si>
    <t>ENVASE BIO 12 X 12 CM X UND</t>
  </si>
  <si>
    <t>LECHE DESLACTOSADA UHT BOLSA X 800 ML</t>
  </si>
  <si>
    <t>LECHE ENTERA BOLSA X 800 ML</t>
  </si>
  <si>
    <t>LECHE LIGHT UHT BOLSA X 800 ML</t>
  </si>
  <si>
    <t>DS RH CROISSANT NUTELLA 50 GR X UND</t>
  </si>
  <si>
    <t>DS RH DSALA BLEND TYPICA X KG</t>
  </si>
  <si>
    <t>DS RH LATA PARFAIT X UND</t>
  </si>
  <si>
    <t>DS RH LATA KEY LEMON PYE KETO X UND</t>
  </si>
  <si>
    <t>DS RH LATA CARROT CAKE KETO X UND</t>
  </si>
  <si>
    <t>DS VASO 8 OZ CON FRASE X UND</t>
  </si>
  <si>
    <t>DS VASO 12 OZ CON FRASE X UND</t>
  </si>
  <si>
    <t>DS RH LATA NARANJA 220 ML X UND</t>
  </si>
  <si>
    <t>CREMA VEGETAL ULTRA RICH X KG</t>
  </si>
  <si>
    <t>KOMBUCHA DE KION X LT</t>
  </si>
  <si>
    <t>DS RH MINI ALFAJOR LUCUMA CHOCOLATE X UND</t>
  </si>
  <si>
    <t>DS RH MINI ALFAJOR X UND</t>
  </si>
  <si>
    <t>DS RH CROISSANT PISTACHO 50 GR X UND</t>
  </si>
  <si>
    <t>BUTTERFLY PEA BLUE MATCHA X 170 GR</t>
  </si>
  <si>
    <t>DS RH MERENGUE PISTACHO X KG</t>
  </si>
  <si>
    <t>DS RH WRAP CESAR X UND</t>
  </si>
  <si>
    <t>JARABE CARAMELO MONIN X LT</t>
  </si>
  <si>
    <t>GrupoGeneral</t>
  </si>
  <si>
    <t>ALIMENTOS</t>
  </si>
  <si>
    <t>SUMINISTROS</t>
  </si>
  <si>
    <t>BEBIDAS</t>
  </si>
  <si>
    <t>DS RH WRAP CHICKEN CHEESE X UND</t>
  </si>
  <si>
    <t>Fecha</t>
  </si>
  <si>
    <t>Almacen</t>
  </si>
  <si>
    <t>Cantidad</t>
  </si>
  <si>
    <t>DS RH CIABATTA POLLO 80 GR X UND</t>
  </si>
  <si>
    <t>DS RH BRIOCHE GRILLED CHEESE 80 GR X UND</t>
  </si>
  <si>
    <t>DS RH CROISSANT MIXTO 60 GR X UND</t>
  </si>
  <si>
    <t>GBCFR2</t>
  </si>
  <si>
    <t>GBFDR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</si>
</sst>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2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8" xr16:uid="{A7B4DF33-F355-42B3-856A-60987EA5AC28}" autoFormatId="16" applyNumberFormats="0" applyBorderFormats="0" applyFontFormats="0" applyPatternFormats="0" applyAlignmentFormats="0" applyWidthHeightFormats="0">
  <queryTableRefresh nextId="6">
    <queryTableFields count="5">
      <queryTableField id="1" name="ITEM" tableColumnId="1"/>
      <queryTableField id="2" name="NOMBRE" tableColumnId="2"/>
      <queryTableField id="3" name="GRUPO COMPRA" tableColumnId="3"/>
      <queryTableField id="4" name="GESTION" tableColumnId="4"/>
      <queryTableField id="5" name="OPERAC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4" xr16:uid="{D99F71EB-A335-45F3-9D19-70887158A156}" autoFormatId="16" applyNumberFormats="0" applyBorderFormats="0" applyFontFormats="0" applyPatternFormats="0" applyAlignmentFormats="0" applyWidthHeightFormats="0">
  <queryTableRefresh nextId="6">
    <queryTableFields count="4">
      <queryTableField id="1" name="ITEM" tableColumnId="1"/>
      <queryTableField id="4" name="GrupoGeneral" tableColumnId="4"/>
      <queryTableField id="2" name="COSTO" tableColumnId="2"/>
      <queryTableField id="3" name="OPERAC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0" xr16:uid="{8508DFD4-28D4-43EC-AA92-2214A4C9A651}" autoFormatId="16" applyNumberFormats="0" applyBorderFormats="0" applyFontFormats="0" applyPatternFormats="0" applyAlignmentFormats="0" applyWidthHeightFormats="0">
  <queryTableRefresh nextId="9">
    <queryTableFields count="6">
      <queryTableField id="1" name="ITEM" tableColumnId="1"/>
      <queryTableField id="6" name="TRX" tableColumnId="6"/>
      <queryTableField id="3" name="AÑOSEM" tableColumnId="3"/>
      <queryTableField id="4" name="CANTIDAD" tableColumnId="4"/>
      <queryTableField id="5" name="IMPORTE" tableColumnId="5"/>
      <queryTableField id="8" name="OPERACION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3" xr16:uid="{E7ACEFB1-0EE4-4CAC-9B50-4312A20ED7E9}" autoFormatId="16" applyNumberFormats="0" applyBorderFormats="0" applyFontFormats="0" applyPatternFormats="0" applyAlignmentFormats="0" applyWidthHeightFormats="0">
  <queryTableRefresh nextId="10">
    <queryTableFields count="6">
      <queryTableField id="1" name="Item" tableColumnId="1"/>
      <queryTableField id="2" name="CONSUMO PROY SEM ANT" tableColumnId="2"/>
      <queryTableField id="3" name="CONSUMO PROY SEM ACT" tableColumnId="3"/>
      <queryTableField id="7" name="AJUSTE SEM ACT" tableColumnId="4"/>
      <queryTableField id="8" name="AJUSTE SEM ANT" tableColumnId="5"/>
      <queryTableField id="9" name="OPERACION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5" xr16:uid="{4332F6F6-2E3D-4F1D-A957-B69B4B340FAB}" autoFormatId="16" applyNumberFormats="0" applyBorderFormats="0" applyFontFormats="0" applyPatternFormats="0" applyAlignmentFormats="0" applyWidthHeightFormats="0">
  <queryTableRefresh nextId="5">
    <queryTableFields count="4">
      <queryTableField id="1" name="Fecha" tableColumnId="1"/>
      <queryTableField id="2" name="Almacen" tableColumnId="2"/>
      <queryTableField id="3" name="Item" tableColumnId="3"/>
      <queryTableField id="4" name="Cantida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5AD555-8D38-4AA8-AF62-6286167E7441}" name="Items" displayName="Items" ref="A1:E76" tableType="queryTable" totalsRowShown="0">
  <autoFilter ref="A1:E76" xr:uid="{915AD555-8D38-4AA8-AF62-6286167E7441}"/>
  <tableColumns count="5">
    <tableColumn id="1" xr3:uid="{1F3AF49A-FAE4-4281-9094-46426F5B084B}" uniqueName="1" name="ITEM" queryTableFieldId="1"/>
    <tableColumn id="2" xr3:uid="{581E8174-54A3-46ED-B741-06ACD48047FF}" uniqueName="2" name="NOMBRE" queryTableFieldId="2" dataDxfId="9"/>
    <tableColumn id="3" xr3:uid="{9F2B7F29-6B48-4722-B445-AA818E7DC8C1}" uniqueName="3" name="GRUPO COMPRA" queryTableFieldId="3" dataDxfId="8"/>
    <tableColumn id="4" xr3:uid="{A5C41CE3-0C14-4F53-929A-A509AD33FF03}" uniqueName="4" name="GESTION" queryTableFieldId="4" dataDxfId="7"/>
    <tableColumn id="5" xr3:uid="{2ECE0499-D1BD-4371-921A-8C395E82F55E}" uniqueName="5" name="OPERACION" queryTableFieldId="5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C33876-ADB5-41F6-BDDF-237B19C46057}" name="Costos" displayName="Costos" ref="A1:D1605" tableType="queryTable" totalsRowShown="0">
  <autoFilter ref="A1:D1605" xr:uid="{DAC33876-ADB5-41F6-BDDF-237B19C46057}"/>
  <tableColumns count="4">
    <tableColumn id="1" xr3:uid="{CDD99B1F-D450-4B84-82A5-A6F96950855E}" uniqueName="1" name="ITEM" queryTableFieldId="1"/>
    <tableColumn id="4" xr3:uid="{49E65360-46A7-4B12-AF0C-30252EBBDDEA}" uniqueName="4" name="GrupoGeneral" queryTableFieldId="4"/>
    <tableColumn id="2" xr3:uid="{16A52A11-564A-4BF5-960F-B27E8CE0A30F}" uniqueName="2" name="COSTO" queryTableFieldId="2"/>
    <tableColumn id="3" xr3:uid="{0B6BC581-E080-432D-9F9D-6E8570FC7710}" uniqueName="3" name="OPERACION" queryTableFieldId="3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3CF05C-BC91-41F4-804C-E9FA726E1E9F}" name="Kardex" displayName="Kardex" ref="A1:F151" tableType="queryTable" totalsRowShown="0">
  <autoFilter ref="A1:F151" xr:uid="{BF3CF05C-BC91-41F4-804C-E9FA726E1E9F}"/>
  <tableColumns count="6">
    <tableColumn id="1" xr3:uid="{CE9AD5BF-6B1D-43EA-A4DD-0E4D29E75544}" uniqueName="1" name="ITEM" queryTableFieldId="1"/>
    <tableColumn id="6" xr3:uid="{CBDB8FE3-25F5-41A5-90C9-E453C69DCBA1}" uniqueName="6" name="TRX" queryTableFieldId="6" dataDxfId="4"/>
    <tableColumn id="3" xr3:uid="{7077070B-3328-419E-A1CA-FD4677907CEC}" uniqueName="3" name="AÑOSEM" queryTableFieldId="3"/>
    <tableColumn id="4" xr3:uid="{AE6E062D-7451-4775-80AE-5F33321B1466}" uniqueName="4" name="CANTIDAD" queryTableFieldId="4"/>
    <tableColumn id="5" xr3:uid="{19B59C6B-010E-4D00-B058-852F2EB633D0}" uniqueName="5" name="IMPORTE" queryTableFieldId="5"/>
    <tableColumn id="2" xr3:uid="{4C9BA878-A642-4597-B9E4-5720CAFA5047}" uniqueName="2" name="OPERACION" queryTableFieldId="8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BBB416-7540-4262-A582-A2E6B8B40907}" name="Requisiciones" displayName="Requisiciones" ref="A1:F76" tableType="queryTable" totalsRowShown="0">
  <autoFilter ref="A1:F76" xr:uid="{95BBB416-7540-4262-A582-A2E6B8B40907}"/>
  <tableColumns count="6">
    <tableColumn id="1" xr3:uid="{02027462-4DE9-4F2C-9E4A-BC40C2D56C1C}" uniqueName="1" name="Item" queryTableFieldId="1"/>
    <tableColumn id="2" xr3:uid="{0B95115A-B533-43FE-8490-E4F36A4D530D}" uniqueName="2" name="CONSUMO PROY SEM ANT" queryTableFieldId="2"/>
    <tableColumn id="3" xr3:uid="{3169E0F5-2800-4F22-81D2-C94F5BCA26FA}" uniqueName="3" name="CONSUMO PROY SEM ACT" queryTableFieldId="3"/>
    <tableColumn id="4" xr3:uid="{EB712F74-06CD-4694-B907-5671E486DC69}" uniqueName="4" name="AJUSTE SEM ACT" queryTableFieldId="7"/>
    <tableColumn id="5" xr3:uid="{8D599D1E-4917-4D02-ABA6-4B98E68AA4F1}" uniqueName="5" name="AJUSTE SEM ANT" queryTableFieldId="8"/>
    <tableColumn id="6" xr3:uid="{0BA96D13-0BAB-4E9B-82F1-848B0BEFE825}" uniqueName="6" name="OPERACION" queryTableFieldId="9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6484F2-FB4D-473E-9B94-4749C2FCC3D9}" name="DosSemanas" displayName="DosSemanas" ref="A1:D2" tableType="queryTable" insertRow="1" totalsRowShown="0">
  <autoFilter ref="A1:D2" xr:uid="{2D6484F2-FB4D-473E-9B94-4749C2FCC3D9}"/>
  <tableColumns count="4">
    <tableColumn id="1" xr3:uid="{4B31174E-C015-4BE4-8A8A-49FD6B6F1996}" uniqueName="1" name="Fecha" queryTableFieldId="1" dataDxfId="0"/>
    <tableColumn id="2" xr3:uid="{4360B4F6-A057-43C8-B3E9-37B82502F3EA}" uniqueName="2" name="Almacen" queryTableFieldId="2" dataDxfId="1"/>
    <tableColumn id="3" xr3:uid="{2AE938AB-D498-4CCE-B556-7084ECF13F5B}" uniqueName="3" name="Item" queryTableFieldId="3"/>
    <tableColumn id="4" xr3:uid="{4AFC4E4C-D973-4BC0-93B4-FD0D485230B8}" uniqueName="4" name="Cantidad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9AE63-120B-49D2-90D1-9087B3CF0D7A}" name="PARAMETROS" displayName="PARAMETROS" ref="B2:O3" totalsRowShown="0">
  <autoFilter ref="B2:O3" xr:uid="{FFF9AE63-120B-49D2-90D1-9087B3CF0D7A}"/>
  <tableColumns count="14">
    <tableColumn id="1" xr3:uid="{1C57496D-2138-4126-ADEC-D802970E635D}" name="OPERACION"/>
    <tableColumn id="2" xr3:uid="{D761F50E-B0EC-4802-B4F3-1A9F7025B907}" name="ERP"/>
    <tableColumn id="9" xr3:uid="{E8EC7DF4-DCBD-48FC-96B5-7A5551B96CEE}" name="SOCIEDAD"/>
    <tableColumn id="8" xr3:uid="{3EFA868D-C5EA-4430-B188-308B69431FC6}" name="RUTA_KARDEX"/>
    <tableColumn id="10" xr3:uid="{CB3D0E01-265F-4D59-8A2B-9B7C2BB7DDE0}" name="RUTA_COSTOS">
      <calculatedColumnFormula>"C:\Users\CORP.PROCESOS\Box\OPERACIONES\"&amp;PARAMETROS[[#This Row],[SOCIEDAD]]&amp;"\RQ "&amp;PARAMETROS[[#This Row],[SOCIEDAD]]&amp;"\"&amp;PARAMETROS[[#This Row],[SOCIEDAD]]&amp;" - Ultimo Costo - Paso 2.xlsx"</calculatedColumnFormula>
    </tableColumn>
    <tableColumn id="11" xr3:uid="{A6DA3E71-BB1A-469D-8D7D-4CED8E28447B}" name="RUTA_ITEMS">
      <calculatedColumnFormula>"C:\Users\CORP.PROCESOS\Box\OPERACIONES\COMUNES\Maestros\Items.xlsx"</calculatedColumnFormula>
    </tableColumn>
    <tableColumn id="12" xr3:uid="{C19EAE61-BA88-4B80-9067-E7A470C2C386}" name="RUTA_RQ">
      <calculatedColumnFormula>"C:\Users\CORP.PROCESOS\Box\EBC\EBC RQ VALIDADAS\RQ VALIDADA "&amp;PARAMETROS[[#This Row],[OPERACION]]&amp;"\"&amp;PARAMETROS[[#This Row],[OPERACION]]&amp;" Requisiciones - Semana "&amp;PARAMETROS[[#This Row],[AÑOACT]]&amp;" "&amp;PARAMETROS[[#This Row],[SEMACT]]&amp;".xlsm"</calculatedColumnFormula>
    </tableColumn>
    <tableColumn id="3" xr3:uid="{64947521-13A3-4D57-9085-E7926D9FE0A8}" name="RUTA_RQ_ANTERIOR">
      <calculatedColumnFormula>"C:\Users\CORP.PROCESOS\Box\EBC\EBC RQ VALIDADAS\RQ VALIDADA "&amp;PARAMETROS[[#This Row],[OPERACION]]&amp;"\"&amp;PARAMETROS[[#This Row],[OPERACION]]&amp;" Requisiciones - Semana "&amp;PARAMETROS[[#This Row],[AÑOANT]]&amp;" "&amp;PARAMETROS[[#This Row],[SEMANT]]&amp;".xlsm"</calculatedColumnFormula>
    </tableColumn>
    <tableColumn id="14" xr3:uid="{5E97C6A6-EC6A-4C07-966B-FAD04002322B}" name="AÑOSEMANT">
      <calculatedColumnFormula>PARAMETROS[[#This Row],[AÑOANT]]*100+PARAMETROS[[#This Row],[SEMANT]]</calculatedColumnFormula>
    </tableColumn>
    <tableColumn id="7" xr3:uid="{31F26C64-3BDA-4F7D-9BE1-F5128D72BBE5}" name="AÑOSEM">
      <calculatedColumnFormula>C20*100+C21</calculatedColumnFormula>
    </tableColumn>
    <tableColumn id="4" xr3:uid="{61090BEF-5DC8-4009-878D-B390DEF0FEAB}" name="AÑOANT">
      <calculatedColumnFormula>IF(PARAMETROS[[#This Row],[SEMACT]]=1,PARAMETROS[[#This Row],[AÑOACT]]-1,PARAMETROS[[#This Row],[AÑOACT]])</calculatedColumnFormula>
    </tableColumn>
    <tableColumn id="13" xr3:uid="{CD6C2994-5AFF-48D0-8E72-F5ECBD30A5C5}" name="SEMANT">
      <calculatedColumnFormula>IF(PARAMETROS[[#This Row],[SEMACT]]=1,52,PARAMETROS[[#This Row],[SEMACT]]-1)</calculatedColumnFormula>
    </tableColumn>
    <tableColumn id="5" xr3:uid="{F17B8140-E980-4646-898B-67FC5A02524D}" name="AÑOACT" dataDxfId="11">
      <calculatedColumnFormula>IF(WEEKNUM(TODAY(),11)=53,YEAR(TODAY())+1,YEAR(TODAY()))</calculatedColumnFormula>
    </tableColumn>
    <tableColumn id="6" xr3:uid="{F111E48D-4FC0-44BA-8DB2-B3FBD2BF3171}" name="SEMACT" dataDxfId="10">
      <calculatedColumnFormula>IF(WEEKNUM(TODAY(),11)=53,1,WEEKNUM(TODAY(),11))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6279B0-5509-407B-A445-EB8FA502D74B}" name="TRXVALIDAS" displayName="TRXVALIDAS" ref="B6:B9" totalsRowShown="0">
  <autoFilter ref="B6:B9" xr:uid="{686279B0-5509-407B-A445-EB8FA502D74B}"/>
  <tableColumns count="1">
    <tableColumn id="1" xr3:uid="{33F42304-4939-4EAF-BCC7-70A1E1E42FF7}" name="TRANSAC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9C3237-1DC5-4B4D-B546-DE63B9CB1116}" name="GRUPO_PLANTA" displayName="GRUPO_PLANTA" ref="B12:B15" totalsRowShown="0">
  <autoFilter ref="B12:B15" xr:uid="{BD9C3237-1DC5-4B4D-B546-DE63B9CB1116}"/>
  <tableColumns count="1">
    <tableColumn id="1" xr3:uid="{D5AAD320-E2F7-45BB-9242-6BC9E2464154}" name="GRUPO_PLA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D122-9641-4F61-8B94-EB5210227758}">
  <sheetPr codeName="Hoja5"/>
  <dimension ref="A1:E76"/>
  <sheetViews>
    <sheetView workbookViewId="0">
      <selection activeCell="B12" sqref="B12"/>
    </sheetView>
  </sheetViews>
  <sheetFormatPr baseColWidth="10" defaultRowHeight="15" x14ac:dyDescent="0.25"/>
  <cols>
    <col min="1" max="1" width="7.7109375" bestFit="1" customWidth="1"/>
    <col min="2" max="2" width="44.85546875" bestFit="1" customWidth="1"/>
    <col min="3" max="3" width="20.140625" bestFit="1" customWidth="1"/>
    <col min="4" max="4" width="11.140625" bestFit="1" customWidth="1"/>
    <col min="5" max="5" width="13.85546875" bestFit="1" customWidth="1"/>
  </cols>
  <sheetData>
    <row r="1" spans="1:5" x14ac:dyDescent="0.25">
      <c r="A1" t="s">
        <v>6</v>
      </c>
      <c r="B1" t="s">
        <v>15</v>
      </c>
      <c r="C1" t="s">
        <v>16</v>
      </c>
      <c r="D1" t="s">
        <v>41</v>
      </c>
      <c r="E1" t="s">
        <v>0</v>
      </c>
    </row>
    <row r="2" spans="1:5" x14ac:dyDescent="0.25">
      <c r="A2">
        <v>6</v>
      </c>
      <c r="B2" t="s">
        <v>18</v>
      </c>
      <c r="C2" t="s">
        <v>17</v>
      </c>
      <c r="D2" t="s">
        <v>42</v>
      </c>
      <c r="E2" t="s">
        <v>134</v>
      </c>
    </row>
    <row r="3" spans="1:5" x14ac:dyDescent="0.25">
      <c r="A3">
        <v>49</v>
      </c>
      <c r="B3" t="s">
        <v>19</v>
      </c>
      <c r="C3" t="s">
        <v>17</v>
      </c>
      <c r="D3" t="s">
        <v>42</v>
      </c>
      <c r="E3" t="s">
        <v>134</v>
      </c>
    </row>
    <row r="4" spans="1:5" x14ac:dyDescent="0.25">
      <c r="A4">
        <v>96</v>
      </c>
      <c r="B4" t="s">
        <v>20</v>
      </c>
      <c r="C4" t="s">
        <v>17</v>
      </c>
      <c r="D4" t="s">
        <v>42</v>
      </c>
      <c r="E4" t="s">
        <v>134</v>
      </c>
    </row>
    <row r="5" spans="1:5" x14ac:dyDescent="0.25">
      <c r="A5">
        <v>346</v>
      </c>
      <c r="B5" t="s">
        <v>22</v>
      </c>
      <c r="C5" t="s">
        <v>21</v>
      </c>
      <c r="D5" t="s">
        <v>42</v>
      </c>
      <c r="E5" t="s">
        <v>134</v>
      </c>
    </row>
    <row r="6" spans="1:5" x14ac:dyDescent="0.25">
      <c r="A6">
        <v>370</v>
      </c>
      <c r="B6" t="s">
        <v>49</v>
      </c>
      <c r="C6" t="s">
        <v>21</v>
      </c>
      <c r="D6" t="s">
        <v>42</v>
      </c>
      <c r="E6" t="s">
        <v>134</v>
      </c>
    </row>
    <row r="7" spans="1:5" x14ac:dyDescent="0.25">
      <c r="A7">
        <v>613</v>
      </c>
      <c r="B7" t="s">
        <v>24</v>
      </c>
      <c r="C7" t="s">
        <v>25</v>
      </c>
      <c r="D7" t="s">
        <v>42</v>
      </c>
      <c r="E7" t="s">
        <v>134</v>
      </c>
    </row>
    <row r="8" spans="1:5" x14ac:dyDescent="0.25">
      <c r="A8">
        <v>877</v>
      </c>
      <c r="B8" t="s">
        <v>61</v>
      </c>
      <c r="C8" t="s">
        <v>27</v>
      </c>
      <c r="D8" t="s">
        <v>42</v>
      </c>
      <c r="E8" t="s">
        <v>134</v>
      </c>
    </row>
    <row r="9" spans="1:5" x14ac:dyDescent="0.25">
      <c r="A9">
        <v>1097</v>
      </c>
      <c r="B9" t="s">
        <v>62</v>
      </c>
      <c r="C9" t="s">
        <v>28</v>
      </c>
      <c r="D9" t="s">
        <v>42</v>
      </c>
      <c r="E9" t="s">
        <v>134</v>
      </c>
    </row>
    <row r="10" spans="1:5" x14ac:dyDescent="0.25">
      <c r="A10">
        <v>1132</v>
      </c>
      <c r="B10" t="s">
        <v>63</v>
      </c>
      <c r="C10" t="s">
        <v>28</v>
      </c>
      <c r="D10" t="s">
        <v>42</v>
      </c>
      <c r="E10" t="s">
        <v>134</v>
      </c>
    </row>
    <row r="11" spans="1:5" x14ac:dyDescent="0.25">
      <c r="A11">
        <v>3605</v>
      </c>
      <c r="B11" t="s">
        <v>50</v>
      </c>
      <c r="C11" t="s">
        <v>17</v>
      </c>
      <c r="D11" t="s">
        <v>42</v>
      </c>
      <c r="E11" t="s">
        <v>134</v>
      </c>
    </row>
    <row r="12" spans="1:5" x14ac:dyDescent="0.25">
      <c r="A12">
        <v>3616</v>
      </c>
      <c r="B12" t="s">
        <v>31</v>
      </c>
      <c r="C12" t="s">
        <v>17</v>
      </c>
      <c r="D12" t="s">
        <v>42</v>
      </c>
      <c r="E12" t="s">
        <v>134</v>
      </c>
    </row>
    <row r="13" spans="1:5" x14ac:dyDescent="0.25">
      <c r="A13">
        <v>5406</v>
      </c>
      <c r="B13" t="s">
        <v>64</v>
      </c>
      <c r="C13" t="s">
        <v>21</v>
      </c>
      <c r="D13" t="s">
        <v>42</v>
      </c>
      <c r="E13" t="s">
        <v>134</v>
      </c>
    </row>
    <row r="14" spans="1:5" x14ac:dyDescent="0.25">
      <c r="A14">
        <v>7687</v>
      </c>
      <c r="B14" t="s">
        <v>65</v>
      </c>
      <c r="C14" t="s">
        <v>27</v>
      </c>
      <c r="D14" t="s">
        <v>42</v>
      </c>
      <c r="E14" t="s">
        <v>134</v>
      </c>
    </row>
    <row r="15" spans="1:5" x14ac:dyDescent="0.25">
      <c r="A15">
        <v>8075</v>
      </c>
      <c r="B15" t="s">
        <v>66</v>
      </c>
      <c r="C15" t="s">
        <v>17</v>
      </c>
      <c r="D15" t="s">
        <v>42</v>
      </c>
      <c r="E15" t="s">
        <v>134</v>
      </c>
    </row>
    <row r="16" spans="1:5" x14ac:dyDescent="0.25">
      <c r="A16">
        <v>8084</v>
      </c>
      <c r="B16" t="s">
        <v>67</v>
      </c>
      <c r="C16" t="s">
        <v>21</v>
      </c>
      <c r="D16" t="s">
        <v>42</v>
      </c>
      <c r="E16" t="s">
        <v>134</v>
      </c>
    </row>
    <row r="17" spans="1:5" x14ac:dyDescent="0.25">
      <c r="A17">
        <v>8118</v>
      </c>
      <c r="B17" t="s">
        <v>51</v>
      </c>
      <c r="C17" t="s">
        <v>17</v>
      </c>
      <c r="D17" t="s">
        <v>42</v>
      </c>
      <c r="E17" t="s">
        <v>134</v>
      </c>
    </row>
    <row r="18" spans="1:5" x14ac:dyDescent="0.25">
      <c r="A18">
        <v>8131</v>
      </c>
      <c r="B18" t="s">
        <v>68</v>
      </c>
      <c r="C18" t="s">
        <v>17</v>
      </c>
      <c r="D18" t="s">
        <v>42</v>
      </c>
      <c r="E18" t="s">
        <v>134</v>
      </c>
    </row>
    <row r="19" spans="1:5" x14ac:dyDescent="0.25">
      <c r="A19">
        <v>8155</v>
      </c>
      <c r="B19" t="s">
        <v>69</v>
      </c>
      <c r="C19" t="s">
        <v>28</v>
      </c>
      <c r="D19" t="s">
        <v>42</v>
      </c>
      <c r="E19" t="s">
        <v>134</v>
      </c>
    </row>
    <row r="20" spans="1:5" x14ac:dyDescent="0.25">
      <c r="A20">
        <v>8156</v>
      </c>
      <c r="B20" t="s">
        <v>70</v>
      </c>
      <c r="C20" t="s">
        <v>28</v>
      </c>
      <c r="D20" t="s">
        <v>42</v>
      </c>
      <c r="E20" t="s">
        <v>134</v>
      </c>
    </row>
    <row r="21" spans="1:5" x14ac:dyDescent="0.25">
      <c r="A21">
        <v>8213</v>
      </c>
      <c r="B21" t="s">
        <v>71</v>
      </c>
      <c r="C21" t="s">
        <v>28</v>
      </c>
      <c r="D21" t="s">
        <v>42</v>
      </c>
      <c r="E21" t="s">
        <v>134</v>
      </c>
    </row>
    <row r="22" spans="1:5" x14ac:dyDescent="0.25">
      <c r="A22">
        <v>8214</v>
      </c>
      <c r="B22" t="s">
        <v>72</v>
      </c>
      <c r="C22" t="s">
        <v>28</v>
      </c>
      <c r="D22" t="s">
        <v>42</v>
      </c>
      <c r="E22" t="s">
        <v>134</v>
      </c>
    </row>
    <row r="23" spans="1:5" x14ac:dyDescent="0.25">
      <c r="A23">
        <v>8261</v>
      </c>
      <c r="B23" t="s">
        <v>74</v>
      </c>
      <c r="C23" t="s">
        <v>73</v>
      </c>
      <c r="D23" t="s">
        <v>42</v>
      </c>
      <c r="E23" t="s">
        <v>134</v>
      </c>
    </row>
    <row r="24" spans="1:5" x14ac:dyDescent="0.25">
      <c r="A24">
        <v>8336</v>
      </c>
      <c r="B24" t="s">
        <v>75</v>
      </c>
      <c r="C24" t="s">
        <v>23</v>
      </c>
      <c r="D24" t="s">
        <v>42</v>
      </c>
      <c r="E24" t="s">
        <v>134</v>
      </c>
    </row>
    <row r="25" spans="1:5" x14ac:dyDescent="0.25">
      <c r="A25">
        <v>8337</v>
      </c>
      <c r="B25" t="s">
        <v>76</v>
      </c>
      <c r="C25" t="s">
        <v>23</v>
      </c>
      <c r="D25" t="s">
        <v>42</v>
      </c>
      <c r="E25" t="s">
        <v>134</v>
      </c>
    </row>
    <row r="26" spans="1:5" x14ac:dyDescent="0.25">
      <c r="A26">
        <v>8467</v>
      </c>
      <c r="B26" t="s">
        <v>77</v>
      </c>
      <c r="C26" t="s">
        <v>23</v>
      </c>
      <c r="D26" t="s">
        <v>42</v>
      </c>
      <c r="E26" t="s">
        <v>134</v>
      </c>
    </row>
    <row r="27" spans="1:5" x14ac:dyDescent="0.25">
      <c r="A27">
        <v>8470</v>
      </c>
      <c r="B27" t="s">
        <v>78</v>
      </c>
      <c r="C27" t="s">
        <v>23</v>
      </c>
      <c r="D27" t="s">
        <v>42</v>
      </c>
      <c r="E27" t="s">
        <v>134</v>
      </c>
    </row>
    <row r="28" spans="1:5" x14ac:dyDescent="0.25">
      <c r="A28">
        <v>8478</v>
      </c>
      <c r="B28" t="s">
        <v>79</v>
      </c>
      <c r="C28" t="s">
        <v>23</v>
      </c>
      <c r="D28" t="s">
        <v>42</v>
      </c>
      <c r="E28" t="s">
        <v>134</v>
      </c>
    </row>
    <row r="29" spans="1:5" x14ac:dyDescent="0.25">
      <c r="A29">
        <v>8502</v>
      </c>
      <c r="B29" t="s">
        <v>80</v>
      </c>
      <c r="C29" t="s">
        <v>23</v>
      </c>
      <c r="D29" t="s">
        <v>42</v>
      </c>
      <c r="E29" t="s">
        <v>134</v>
      </c>
    </row>
    <row r="30" spans="1:5" x14ac:dyDescent="0.25">
      <c r="A30">
        <v>8503</v>
      </c>
      <c r="B30" t="s">
        <v>81</v>
      </c>
      <c r="C30" t="s">
        <v>23</v>
      </c>
      <c r="D30" t="s">
        <v>42</v>
      </c>
      <c r="E30" t="s">
        <v>134</v>
      </c>
    </row>
    <row r="31" spans="1:5" x14ac:dyDescent="0.25">
      <c r="A31">
        <v>8513</v>
      </c>
      <c r="B31" t="s">
        <v>82</v>
      </c>
      <c r="C31" t="s">
        <v>23</v>
      </c>
      <c r="D31" t="s">
        <v>42</v>
      </c>
      <c r="E31" t="s">
        <v>134</v>
      </c>
    </row>
    <row r="32" spans="1:5" x14ac:dyDescent="0.25">
      <c r="A32">
        <v>8519</v>
      </c>
      <c r="B32" t="s">
        <v>83</v>
      </c>
      <c r="C32" t="s">
        <v>23</v>
      </c>
      <c r="D32" t="s">
        <v>42</v>
      </c>
      <c r="E32" t="s">
        <v>134</v>
      </c>
    </row>
    <row r="33" spans="1:5" x14ac:dyDescent="0.25">
      <c r="A33">
        <v>8654</v>
      </c>
      <c r="B33" t="s">
        <v>84</v>
      </c>
      <c r="C33" t="s">
        <v>28</v>
      </c>
      <c r="D33" t="s">
        <v>42</v>
      </c>
      <c r="E33" t="s">
        <v>134</v>
      </c>
    </row>
    <row r="34" spans="1:5" x14ac:dyDescent="0.25">
      <c r="A34">
        <v>8670</v>
      </c>
      <c r="B34" t="s">
        <v>85</v>
      </c>
      <c r="C34" t="s">
        <v>28</v>
      </c>
      <c r="D34" t="s">
        <v>42</v>
      </c>
      <c r="E34" t="s">
        <v>134</v>
      </c>
    </row>
    <row r="35" spans="1:5" x14ac:dyDescent="0.25">
      <c r="A35">
        <v>8671</v>
      </c>
      <c r="B35" t="s">
        <v>86</v>
      </c>
      <c r="C35" t="s">
        <v>28</v>
      </c>
      <c r="D35" t="s">
        <v>42</v>
      </c>
      <c r="E35" t="s">
        <v>134</v>
      </c>
    </row>
    <row r="36" spans="1:5" x14ac:dyDescent="0.25">
      <c r="A36">
        <v>8672</v>
      </c>
      <c r="B36" t="s">
        <v>87</v>
      </c>
      <c r="C36" t="s">
        <v>28</v>
      </c>
      <c r="D36" t="s">
        <v>42</v>
      </c>
      <c r="E36" t="s">
        <v>134</v>
      </c>
    </row>
    <row r="37" spans="1:5" x14ac:dyDescent="0.25">
      <c r="A37">
        <v>8673</v>
      </c>
      <c r="B37" t="s">
        <v>88</v>
      </c>
      <c r="C37" t="s">
        <v>28</v>
      </c>
      <c r="D37" t="s">
        <v>42</v>
      </c>
      <c r="E37" t="s">
        <v>134</v>
      </c>
    </row>
    <row r="38" spans="1:5" x14ac:dyDescent="0.25">
      <c r="A38">
        <v>8845</v>
      </c>
      <c r="B38" t="s">
        <v>89</v>
      </c>
      <c r="C38" t="s">
        <v>28</v>
      </c>
      <c r="D38" t="s">
        <v>42</v>
      </c>
      <c r="E38" t="s">
        <v>134</v>
      </c>
    </row>
    <row r="39" spans="1:5" x14ac:dyDescent="0.25">
      <c r="A39">
        <v>9216</v>
      </c>
      <c r="B39" t="s">
        <v>52</v>
      </c>
      <c r="C39" t="s">
        <v>17</v>
      </c>
      <c r="D39" t="s">
        <v>42</v>
      </c>
      <c r="E39" t="s">
        <v>134</v>
      </c>
    </row>
    <row r="40" spans="1:5" x14ac:dyDescent="0.25">
      <c r="A40">
        <v>9734</v>
      </c>
      <c r="B40" t="s">
        <v>90</v>
      </c>
      <c r="C40" t="s">
        <v>17</v>
      </c>
      <c r="D40" t="s">
        <v>42</v>
      </c>
      <c r="E40" t="s">
        <v>134</v>
      </c>
    </row>
    <row r="41" spans="1:5" x14ac:dyDescent="0.25">
      <c r="A41">
        <v>9924</v>
      </c>
      <c r="B41" t="s">
        <v>91</v>
      </c>
      <c r="C41" t="s">
        <v>23</v>
      </c>
      <c r="D41" t="s">
        <v>42</v>
      </c>
      <c r="E41" t="s">
        <v>134</v>
      </c>
    </row>
    <row r="42" spans="1:5" x14ac:dyDescent="0.25">
      <c r="A42">
        <v>9933</v>
      </c>
      <c r="B42" t="s">
        <v>92</v>
      </c>
      <c r="C42" t="s">
        <v>17</v>
      </c>
      <c r="D42" t="s">
        <v>42</v>
      </c>
      <c r="E42" t="s">
        <v>134</v>
      </c>
    </row>
    <row r="43" spans="1:5" x14ac:dyDescent="0.25">
      <c r="A43">
        <v>10563</v>
      </c>
      <c r="B43" t="s">
        <v>93</v>
      </c>
      <c r="C43" t="s">
        <v>73</v>
      </c>
      <c r="D43" t="s">
        <v>42</v>
      </c>
      <c r="E43" t="s">
        <v>134</v>
      </c>
    </row>
    <row r="44" spans="1:5" x14ac:dyDescent="0.25">
      <c r="A44">
        <v>10564</v>
      </c>
      <c r="B44" t="s">
        <v>94</v>
      </c>
      <c r="C44" t="s">
        <v>73</v>
      </c>
      <c r="D44" t="s">
        <v>42</v>
      </c>
      <c r="E44" t="s">
        <v>134</v>
      </c>
    </row>
    <row r="45" spans="1:5" x14ac:dyDescent="0.25">
      <c r="A45">
        <v>11471</v>
      </c>
      <c r="B45" t="s">
        <v>95</v>
      </c>
      <c r="C45" t="s">
        <v>17</v>
      </c>
      <c r="D45" t="s">
        <v>42</v>
      </c>
      <c r="E45" t="s">
        <v>134</v>
      </c>
    </row>
    <row r="46" spans="1:5" x14ac:dyDescent="0.25">
      <c r="A46">
        <v>11532</v>
      </c>
      <c r="B46" t="s">
        <v>96</v>
      </c>
      <c r="C46" t="s">
        <v>23</v>
      </c>
      <c r="D46" t="s">
        <v>42</v>
      </c>
      <c r="E46" t="s">
        <v>134</v>
      </c>
    </row>
    <row r="47" spans="1:5" x14ac:dyDescent="0.25">
      <c r="A47">
        <v>11535</v>
      </c>
      <c r="B47" t="s">
        <v>97</v>
      </c>
      <c r="C47" t="s">
        <v>17</v>
      </c>
      <c r="D47" t="s">
        <v>42</v>
      </c>
      <c r="E47" t="s">
        <v>134</v>
      </c>
    </row>
    <row r="48" spans="1:5" x14ac:dyDescent="0.25">
      <c r="A48">
        <v>11536</v>
      </c>
      <c r="B48" t="s">
        <v>98</v>
      </c>
      <c r="C48" t="s">
        <v>17</v>
      </c>
      <c r="D48" t="s">
        <v>42</v>
      </c>
      <c r="E48" t="s">
        <v>134</v>
      </c>
    </row>
    <row r="49" spans="1:5" x14ac:dyDescent="0.25">
      <c r="A49">
        <v>11546</v>
      </c>
      <c r="B49" t="s">
        <v>99</v>
      </c>
      <c r="C49" t="s">
        <v>27</v>
      </c>
      <c r="D49" t="s">
        <v>42</v>
      </c>
      <c r="E49" t="s">
        <v>134</v>
      </c>
    </row>
    <row r="50" spans="1:5" x14ac:dyDescent="0.25">
      <c r="A50">
        <v>11785</v>
      </c>
      <c r="B50" t="s">
        <v>100</v>
      </c>
      <c r="C50" t="s">
        <v>23</v>
      </c>
      <c r="D50" t="s">
        <v>42</v>
      </c>
      <c r="E50" t="s">
        <v>134</v>
      </c>
    </row>
    <row r="51" spans="1:5" x14ac:dyDescent="0.25">
      <c r="A51">
        <v>11851</v>
      </c>
      <c r="B51" t="s">
        <v>101</v>
      </c>
      <c r="C51" t="s">
        <v>23</v>
      </c>
      <c r="D51" t="s">
        <v>42</v>
      </c>
      <c r="E51" t="s">
        <v>134</v>
      </c>
    </row>
    <row r="52" spans="1:5" x14ac:dyDescent="0.25">
      <c r="A52">
        <v>12128</v>
      </c>
      <c r="B52" t="s">
        <v>102</v>
      </c>
      <c r="C52" t="s">
        <v>28</v>
      </c>
      <c r="D52" t="s">
        <v>42</v>
      </c>
      <c r="E52" t="s">
        <v>134</v>
      </c>
    </row>
    <row r="53" spans="1:5" x14ac:dyDescent="0.25">
      <c r="A53">
        <v>12682</v>
      </c>
      <c r="B53" t="s">
        <v>103</v>
      </c>
      <c r="C53" t="s">
        <v>17</v>
      </c>
      <c r="D53" t="s">
        <v>42</v>
      </c>
      <c r="E53" t="s">
        <v>134</v>
      </c>
    </row>
    <row r="54" spans="1:5" x14ac:dyDescent="0.25">
      <c r="A54">
        <v>12683</v>
      </c>
      <c r="B54" t="s">
        <v>104</v>
      </c>
      <c r="C54" t="s">
        <v>17</v>
      </c>
      <c r="D54" t="s">
        <v>42</v>
      </c>
      <c r="E54" t="s">
        <v>134</v>
      </c>
    </row>
    <row r="55" spans="1:5" x14ac:dyDescent="0.25">
      <c r="A55">
        <v>12684</v>
      </c>
      <c r="B55" t="s">
        <v>105</v>
      </c>
      <c r="C55" t="s">
        <v>17</v>
      </c>
      <c r="D55" t="s">
        <v>42</v>
      </c>
      <c r="E55" t="s">
        <v>134</v>
      </c>
    </row>
    <row r="56" spans="1:5" x14ac:dyDescent="0.25">
      <c r="A56">
        <v>13005</v>
      </c>
      <c r="B56" t="s">
        <v>106</v>
      </c>
      <c r="C56" t="s">
        <v>23</v>
      </c>
      <c r="D56" t="s">
        <v>42</v>
      </c>
      <c r="E56" t="s">
        <v>134</v>
      </c>
    </row>
    <row r="57" spans="1:5" x14ac:dyDescent="0.25">
      <c r="A57">
        <v>13164</v>
      </c>
      <c r="B57" t="s">
        <v>107</v>
      </c>
      <c r="C57" t="s">
        <v>73</v>
      </c>
      <c r="D57" t="s">
        <v>42</v>
      </c>
      <c r="E57" t="s">
        <v>134</v>
      </c>
    </row>
    <row r="58" spans="1:5" x14ac:dyDescent="0.25">
      <c r="A58">
        <v>13362</v>
      </c>
      <c r="B58" t="s">
        <v>108</v>
      </c>
      <c r="C58" t="s">
        <v>23</v>
      </c>
      <c r="D58" t="s">
        <v>42</v>
      </c>
      <c r="E58" t="s">
        <v>134</v>
      </c>
    </row>
    <row r="59" spans="1:5" x14ac:dyDescent="0.25">
      <c r="A59">
        <v>13368</v>
      </c>
      <c r="B59" t="s">
        <v>109</v>
      </c>
      <c r="C59" t="s">
        <v>23</v>
      </c>
      <c r="D59" t="s">
        <v>42</v>
      </c>
      <c r="E59" t="s">
        <v>134</v>
      </c>
    </row>
    <row r="60" spans="1:5" x14ac:dyDescent="0.25">
      <c r="A60">
        <v>13370</v>
      </c>
      <c r="B60" t="s">
        <v>110</v>
      </c>
      <c r="C60" t="s">
        <v>23</v>
      </c>
      <c r="D60" t="s">
        <v>42</v>
      </c>
      <c r="E60" t="s">
        <v>134</v>
      </c>
    </row>
    <row r="61" spans="1:5" x14ac:dyDescent="0.25">
      <c r="A61">
        <v>13422</v>
      </c>
      <c r="B61" t="s">
        <v>111</v>
      </c>
      <c r="C61" t="s">
        <v>28</v>
      </c>
      <c r="D61" t="s">
        <v>42</v>
      </c>
      <c r="E61" t="s">
        <v>134</v>
      </c>
    </row>
    <row r="62" spans="1:5" x14ac:dyDescent="0.25">
      <c r="A62">
        <v>13423</v>
      </c>
      <c r="B62" t="s">
        <v>112</v>
      </c>
      <c r="C62" t="s">
        <v>28</v>
      </c>
      <c r="D62" t="s">
        <v>42</v>
      </c>
      <c r="E62" t="s">
        <v>134</v>
      </c>
    </row>
    <row r="63" spans="1:5" x14ac:dyDescent="0.25">
      <c r="A63">
        <v>13432</v>
      </c>
      <c r="B63" t="s">
        <v>113</v>
      </c>
      <c r="C63" t="s">
        <v>23</v>
      </c>
      <c r="D63" t="s">
        <v>42</v>
      </c>
      <c r="E63" t="s">
        <v>134</v>
      </c>
    </row>
    <row r="64" spans="1:5" x14ac:dyDescent="0.25">
      <c r="A64">
        <v>13433</v>
      </c>
      <c r="B64" t="s">
        <v>114</v>
      </c>
      <c r="C64" t="s">
        <v>17</v>
      </c>
      <c r="D64" t="s">
        <v>42</v>
      </c>
      <c r="E64" t="s">
        <v>134</v>
      </c>
    </row>
    <row r="65" spans="1:5" x14ac:dyDescent="0.25">
      <c r="A65">
        <v>13434</v>
      </c>
      <c r="B65" t="s">
        <v>115</v>
      </c>
      <c r="C65" t="s">
        <v>17</v>
      </c>
      <c r="D65" t="s">
        <v>42</v>
      </c>
      <c r="E65" t="s">
        <v>134</v>
      </c>
    </row>
    <row r="66" spans="1:5" x14ac:dyDescent="0.25">
      <c r="A66">
        <v>13453</v>
      </c>
      <c r="B66" t="s">
        <v>116</v>
      </c>
      <c r="C66" t="s">
        <v>23</v>
      </c>
      <c r="D66" t="s">
        <v>42</v>
      </c>
      <c r="E66" t="s">
        <v>134</v>
      </c>
    </row>
    <row r="67" spans="1:5" x14ac:dyDescent="0.25">
      <c r="A67">
        <v>13454</v>
      </c>
      <c r="B67" t="s">
        <v>117</v>
      </c>
      <c r="C67" t="s">
        <v>23</v>
      </c>
      <c r="D67" t="s">
        <v>42</v>
      </c>
      <c r="E67" t="s">
        <v>134</v>
      </c>
    </row>
    <row r="68" spans="1:5" x14ac:dyDescent="0.25">
      <c r="A68">
        <v>13455</v>
      </c>
      <c r="B68" t="s">
        <v>118</v>
      </c>
      <c r="C68" t="s">
        <v>23</v>
      </c>
      <c r="D68" t="s">
        <v>42</v>
      </c>
      <c r="E68" t="s">
        <v>134</v>
      </c>
    </row>
    <row r="69" spans="1:5" x14ac:dyDescent="0.25">
      <c r="A69">
        <v>13488</v>
      </c>
      <c r="B69" t="s">
        <v>119</v>
      </c>
      <c r="C69" t="s">
        <v>17</v>
      </c>
      <c r="D69" t="s">
        <v>42</v>
      </c>
      <c r="E69" t="s">
        <v>134</v>
      </c>
    </row>
    <row r="70" spans="1:5" x14ac:dyDescent="0.25">
      <c r="A70">
        <v>13526</v>
      </c>
      <c r="B70" t="s">
        <v>120</v>
      </c>
      <c r="C70" t="s">
        <v>23</v>
      </c>
      <c r="D70" t="s">
        <v>42</v>
      </c>
      <c r="E70" t="s">
        <v>134</v>
      </c>
    </row>
    <row r="71" spans="1:5" x14ac:dyDescent="0.25">
      <c r="A71">
        <v>13546</v>
      </c>
      <c r="B71" t="s">
        <v>121</v>
      </c>
      <c r="C71" t="s">
        <v>23</v>
      </c>
      <c r="D71" t="s">
        <v>42</v>
      </c>
      <c r="E71" t="s">
        <v>134</v>
      </c>
    </row>
    <row r="72" spans="1:5" x14ac:dyDescent="0.25">
      <c r="A72">
        <v>13549</v>
      </c>
      <c r="B72" t="s">
        <v>127</v>
      </c>
      <c r="C72" t="s">
        <v>23</v>
      </c>
      <c r="D72" t="s">
        <v>42</v>
      </c>
      <c r="E72" t="s">
        <v>134</v>
      </c>
    </row>
    <row r="73" spans="1:5" x14ac:dyDescent="0.25">
      <c r="A73">
        <v>13580</v>
      </c>
      <c r="B73" t="s">
        <v>131</v>
      </c>
      <c r="C73" t="s">
        <v>23</v>
      </c>
      <c r="D73" t="s">
        <v>42</v>
      </c>
      <c r="E73" t="s">
        <v>134</v>
      </c>
    </row>
    <row r="74" spans="1:5" x14ac:dyDescent="0.25">
      <c r="A74">
        <v>13583</v>
      </c>
      <c r="B74" t="s">
        <v>132</v>
      </c>
      <c r="C74" t="s">
        <v>23</v>
      </c>
      <c r="D74" t="s">
        <v>42</v>
      </c>
      <c r="E74" t="s">
        <v>134</v>
      </c>
    </row>
    <row r="75" spans="1:5" x14ac:dyDescent="0.25">
      <c r="A75">
        <v>13585</v>
      </c>
      <c r="B75" t="s">
        <v>133</v>
      </c>
      <c r="C75" t="s">
        <v>23</v>
      </c>
      <c r="D75" t="s">
        <v>42</v>
      </c>
      <c r="E75" t="s">
        <v>134</v>
      </c>
    </row>
    <row r="76" spans="1:5" x14ac:dyDescent="0.25">
      <c r="A76">
        <v>13599</v>
      </c>
      <c r="B76" t="s">
        <v>122</v>
      </c>
      <c r="C76" t="s">
        <v>17</v>
      </c>
      <c r="D76" t="s">
        <v>42</v>
      </c>
      <c r="E76" t="s">
        <v>134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2210-A7B1-4B1E-9F78-4299EA3B9FD4}">
  <sheetPr codeName="Hoja3"/>
  <dimension ref="A1:D1605"/>
  <sheetViews>
    <sheetView workbookViewId="0">
      <selection activeCell="G18" sqref="G18"/>
    </sheetView>
  </sheetViews>
  <sheetFormatPr baseColWidth="10" defaultRowHeight="15" x14ac:dyDescent="0.25"/>
  <cols>
    <col min="1" max="1" width="7.7109375" bestFit="1" customWidth="1"/>
    <col min="2" max="2" width="16" bestFit="1" customWidth="1"/>
    <col min="3" max="3" width="12" bestFit="1" customWidth="1"/>
    <col min="4" max="4" width="13.85546875" customWidth="1"/>
  </cols>
  <sheetData>
    <row r="1" spans="1:4" x14ac:dyDescent="0.25">
      <c r="A1" t="s">
        <v>6</v>
      </c>
      <c r="B1" t="s">
        <v>123</v>
      </c>
      <c r="C1" t="s">
        <v>14</v>
      </c>
      <c r="D1" t="s">
        <v>0</v>
      </c>
    </row>
    <row r="2" spans="1:4" x14ac:dyDescent="0.25">
      <c r="A2">
        <v>99</v>
      </c>
      <c r="B2" t="s">
        <v>124</v>
      </c>
      <c r="C2">
        <v>12.02</v>
      </c>
      <c r="D2" t="s">
        <v>134</v>
      </c>
    </row>
    <row r="3" spans="1:4" x14ac:dyDescent="0.25">
      <c r="A3">
        <v>9999</v>
      </c>
      <c r="B3" t="s">
        <v>124</v>
      </c>
      <c r="C3">
        <v>3</v>
      </c>
      <c r="D3" t="s">
        <v>134</v>
      </c>
    </row>
    <row r="4" spans="1:4" x14ac:dyDescent="0.25">
      <c r="A4">
        <v>9987</v>
      </c>
      <c r="B4" t="s">
        <v>125</v>
      </c>
      <c r="C4">
        <v>34.869999999999997</v>
      </c>
      <c r="D4" t="s">
        <v>134</v>
      </c>
    </row>
    <row r="5" spans="1:4" x14ac:dyDescent="0.25">
      <c r="A5">
        <v>9981</v>
      </c>
      <c r="B5" t="s">
        <v>124</v>
      </c>
      <c r="C5">
        <v>32</v>
      </c>
      <c r="D5" t="s">
        <v>134</v>
      </c>
    </row>
    <row r="6" spans="1:4" x14ac:dyDescent="0.25">
      <c r="A6">
        <v>9955</v>
      </c>
      <c r="B6" t="s">
        <v>125</v>
      </c>
      <c r="C6">
        <v>15.255000000000001</v>
      </c>
      <c r="D6" t="s">
        <v>134</v>
      </c>
    </row>
    <row r="7" spans="1:4" x14ac:dyDescent="0.25">
      <c r="A7">
        <v>9933</v>
      </c>
      <c r="B7" t="s">
        <v>124</v>
      </c>
      <c r="C7">
        <v>3.56</v>
      </c>
      <c r="D7" t="s">
        <v>134</v>
      </c>
    </row>
    <row r="8" spans="1:4" x14ac:dyDescent="0.25">
      <c r="A8">
        <v>9927</v>
      </c>
      <c r="B8" t="s">
        <v>125</v>
      </c>
      <c r="C8">
        <v>126.27</v>
      </c>
      <c r="D8" t="s">
        <v>134</v>
      </c>
    </row>
    <row r="9" spans="1:4" x14ac:dyDescent="0.25">
      <c r="A9">
        <v>9926</v>
      </c>
      <c r="B9" t="s">
        <v>125</v>
      </c>
      <c r="C9">
        <v>370.5</v>
      </c>
      <c r="D9" t="s">
        <v>134</v>
      </c>
    </row>
    <row r="10" spans="1:4" x14ac:dyDescent="0.25">
      <c r="A10">
        <v>9924</v>
      </c>
      <c r="B10" t="s">
        <v>124</v>
      </c>
      <c r="C10">
        <v>0.17883076923076924</v>
      </c>
      <c r="D10" t="s">
        <v>134</v>
      </c>
    </row>
    <row r="11" spans="1:4" x14ac:dyDescent="0.25">
      <c r="A11">
        <v>9924</v>
      </c>
      <c r="B11" t="s">
        <v>124</v>
      </c>
      <c r="C11">
        <v>4.0677500000000002</v>
      </c>
      <c r="D11" t="s">
        <v>134</v>
      </c>
    </row>
    <row r="12" spans="1:4" x14ac:dyDescent="0.25">
      <c r="A12">
        <v>9921</v>
      </c>
      <c r="B12" t="s">
        <v>124</v>
      </c>
      <c r="C12">
        <v>29.754799999999999</v>
      </c>
      <c r="D12" t="s">
        <v>134</v>
      </c>
    </row>
    <row r="13" spans="1:4" x14ac:dyDescent="0.25">
      <c r="A13">
        <v>9920</v>
      </c>
      <c r="B13" t="s">
        <v>124</v>
      </c>
      <c r="C13">
        <v>5.84</v>
      </c>
      <c r="D13" t="s">
        <v>134</v>
      </c>
    </row>
    <row r="14" spans="1:4" x14ac:dyDescent="0.25">
      <c r="A14">
        <v>9919</v>
      </c>
      <c r="B14" t="s">
        <v>124</v>
      </c>
      <c r="C14">
        <v>8.4445221238938046</v>
      </c>
      <c r="D14" t="s">
        <v>134</v>
      </c>
    </row>
    <row r="15" spans="1:4" x14ac:dyDescent="0.25">
      <c r="A15">
        <v>9918</v>
      </c>
      <c r="B15" t="s">
        <v>124</v>
      </c>
      <c r="C15">
        <v>1.5503722222222223</v>
      </c>
      <c r="D15" t="s">
        <v>134</v>
      </c>
    </row>
    <row r="16" spans="1:4" x14ac:dyDescent="0.25">
      <c r="A16">
        <v>9917</v>
      </c>
      <c r="B16" t="s">
        <v>124</v>
      </c>
      <c r="C16">
        <v>18.285433333333334</v>
      </c>
      <c r="D16" t="s">
        <v>134</v>
      </c>
    </row>
    <row r="17" spans="1:4" x14ac:dyDescent="0.25">
      <c r="A17">
        <v>9916</v>
      </c>
      <c r="B17" t="s">
        <v>124</v>
      </c>
      <c r="C17">
        <v>1.3637777777777778</v>
      </c>
      <c r="D17" t="s">
        <v>134</v>
      </c>
    </row>
    <row r="18" spans="1:4" x14ac:dyDescent="0.25">
      <c r="A18">
        <v>9915</v>
      </c>
      <c r="B18" t="s">
        <v>124</v>
      </c>
      <c r="C18">
        <v>16.663921113689096</v>
      </c>
      <c r="D18" t="s">
        <v>134</v>
      </c>
    </row>
    <row r="19" spans="1:4" x14ac:dyDescent="0.25">
      <c r="A19">
        <v>9914</v>
      </c>
      <c r="B19" t="s">
        <v>124</v>
      </c>
      <c r="C19">
        <v>4.3896600000000001</v>
      </c>
      <c r="D19" t="s">
        <v>134</v>
      </c>
    </row>
    <row r="20" spans="1:4" x14ac:dyDescent="0.25">
      <c r="A20">
        <v>9897</v>
      </c>
      <c r="B20" t="s">
        <v>124</v>
      </c>
      <c r="C20">
        <v>6.8761748633879778</v>
      </c>
      <c r="D20" t="s">
        <v>134</v>
      </c>
    </row>
    <row r="21" spans="1:4" x14ac:dyDescent="0.25">
      <c r="A21">
        <v>9896</v>
      </c>
      <c r="B21" t="s">
        <v>124</v>
      </c>
      <c r="C21">
        <v>17.388792246520875</v>
      </c>
      <c r="D21" t="s">
        <v>134</v>
      </c>
    </row>
    <row r="22" spans="1:4" x14ac:dyDescent="0.25">
      <c r="A22">
        <v>9895</v>
      </c>
      <c r="B22" t="s">
        <v>124</v>
      </c>
      <c r="C22">
        <v>10.717733333333335</v>
      </c>
      <c r="D22" t="s">
        <v>134</v>
      </c>
    </row>
    <row r="23" spans="1:4" x14ac:dyDescent="0.25">
      <c r="A23">
        <v>9894</v>
      </c>
      <c r="B23" t="s">
        <v>124</v>
      </c>
      <c r="C23">
        <v>3.5362</v>
      </c>
      <c r="D23" t="s">
        <v>134</v>
      </c>
    </row>
    <row r="24" spans="1:4" x14ac:dyDescent="0.25">
      <c r="A24">
        <v>9893</v>
      </c>
      <c r="B24" t="s">
        <v>124</v>
      </c>
      <c r="C24">
        <v>4.8215000000000003</v>
      </c>
      <c r="D24" t="s">
        <v>134</v>
      </c>
    </row>
    <row r="25" spans="1:4" x14ac:dyDescent="0.25">
      <c r="A25">
        <v>9892</v>
      </c>
      <c r="B25" t="s">
        <v>124</v>
      </c>
      <c r="C25">
        <v>6.010188461538462</v>
      </c>
      <c r="D25" t="s">
        <v>134</v>
      </c>
    </row>
    <row r="26" spans="1:4" x14ac:dyDescent="0.25">
      <c r="A26">
        <v>9890</v>
      </c>
      <c r="B26" t="s">
        <v>124</v>
      </c>
      <c r="C26">
        <v>5.0630199999999999</v>
      </c>
      <c r="D26" t="s">
        <v>134</v>
      </c>
    </row>
    <row r="27" spans="1:4" x14ac:dyDescent="0.25">
      <c r="A27">
        <v>9874</v>
      </c>
      <c r="B27" t="s">
        <v>124</v>
      </c>
      <c r="C27">
        <v>1.95</v>
      </c>
      <c r="D27" t="s">
        <v>134</v>
      </c>
    </row>
    <row r="28" spans="1:4" x14ac:dyDescent="0.25">
      <c r="A28">
        <v>9873</v>
      </c>
      <c r="B28" t="s">
        <v>124</v>
      </c>
      <c r="C28">
        <v>2</v>
      </c>
      <c r="D28" t="s">
        <v>134</v>
      </c>
    </row>
    <row r="29" spans="1:4" x14ac:dyDescent="0.25">
      <c r="A29">
        <v>9872</v>
      </c>
      <c r="B29" t="s">
        <v>124</v>
      </c>
      <c r="C29">
        <v>1.8645454545454547</v>
      </c>
      <c r="D29" t="s">
        <v>134</v>
      </c>
    </row>
    <row r="30" spans="1:4" x14ac:dyDescent="0.25">
      <c r="A30">
        <v>9842</v>
      </c>
      <c r="B30" t="s">
        <v>124</v>
      </c>
      <c r="C30">
        <v>8.6172000000000004</v>
      </c>
      <c r="D30" t="s">
        <v>134</v>
      </c>
    </row>
    <row r="31" spans="1:4" x14ac:dyDescent="0.25">
      <c r="A31">
        <v>9841</v>
      </c>
      <c r="B31" t="s">
        <v>124</v>
      </c>
      <c r="C31">
        <v>0.61210769230769224</v>
      </c>
      <c r="D31" t="s">
        <v>134</v>
      </c>
    </row>
    <row r="32" spans="1:4" x14ac:dyDescent="0.25">
      <c r="A32">
        <v>9839</v>
      </c>
      <c r="B32" t="s">
        <v>124</v>
      </c>
      <c r="C32">
        <v>0.12258469387755103</v>
      </c>
      <c r="D32" t="s">
        <v>134</v>
      </c>
    </row>
    <row r="33" spans="1:4" x14ac:dyDescent="0.25">
      <c r="A33">
        <v>9838</v>
      </c>
      <c r="B33" t="s">
        <v>124</v>
      </c>
      <c r="C33">
        <v>11.388117647058824</v>
      </c>
      <c r="D33" t="s">
        <v>134</v>
      </c>
    </row>
    <row r="34" spans="1:4" x14ac:dyDescent="0.25">
      <c r="A34">
        <v>9837</v>
      </c>
      <c r="B34" t="s">
        <v>124</v>
      </c>
      <c r="C34">
        <v>1.49024</v>
      </c>
      <c r="D34" t="s">
        <v>134</v>
      </c>
    </row>
    <row r="35" spans="1:4" x14ac:dyDescent="0.25">
      <c r="A35">
        <v>9832</v>
      </c>
      <c r="B35" t="s">
        <v>125</v>
      </c>
      <c r="C35">
        <v>9.2375000000000007</v>
      </c>
      <c r="D35" t="s">
        <v>134</v>
      </c>
    </row>
    <row r="36" spans="1:4" x14ac:dyDescent="0.25">
      <c r="A36">
        <v>9764</v>
      </c>
      <c r="B36" t="s">
        <v>125</v>
      </c>
      <c r="C36">
        <v>423.73</v>
      </c>
      <c r="D36" t="s">
        <v>134</v>
      </c>
    </row>
    <row r="37" spans="1:4" x14ac:dyDescent="0.25">
      <c r="A37">
        <v>9763</v>
      </c>
      <c r="B37" t="s">
        <v>125</v>
      </c>
      <c r="C37">
        <v>423.73</v>
      </c>
      <c r="D37" t="s">
        <v>134</v>
      </c>
    </row>
    <row r="38" spans="1:4" x14ac:dyDescent="0.25">
      <c r="A38">
        <v>9762</v>
      </c>
      <c r="B38" t="s">
        <v>125</v>
      </c>
      <c r="C38">
        <v>423.73</v>
      </c>
      <c r="D38" t="s">
        <v>134</v>
      </c>
    </row>
    <row r="39" spans="1:4" x14ac:dyDescent="0.25">
      <c r="A39">
        <v>9761</v>
      </c>
      <c r="B39" t="s">
        <v>125</v>
      </c>
      <c r="C39">
        <v>423.73</v>
      </c>
      <c r="D39" t="s">
        <v>134</v>
      </c>
    </row>
    <row r="40" spans="1:4" x14ac:dyDescent="0.25">
      <c r="A40">
        <v>9760</v>
      </c>
      <c r="B40" t="s">
        <v>124</v>
      </c>
      <c r="C40">
        <v>2.2823687499999998</v>
      </c>
      <c r="D40" t="s">
        <v>134</v>
      </c>
    </row>
    <row r="41" spans="1:4" x14ac:dyDescent="0.25">
      <c r="A41">
        <v>9759</v>
      </c>
      <c r="B41" t="s">
        <v>124</v>
      </c>
      <c r="C41">
        <v>57.82</v>
      </c>
      <c r="D41" t="s">
        <v>134</v>
      </c>
    </row>
    <row r="42" spans="1:4" x14ac:dyDescent="0.25">
      <c r="A42">
        <v>9758</v>
      </c>
      <c r="B42" t="s">
        <v>124</v>
      </c>
      <c r="C42">
        <v>51.753499999999995</v>
      </c>
      <c r="D42" t="s">
        <v>134</v>
      </c>
    </row>
    <row r="43" spans="1:4" x14ac:dyDescent="0.25">
      <c r="A43">
        <v>9757</v>
      </c>
      <c r="B43" t="s">
        <v>124</v>
      </c>
      <c r="C43">
        <v>20.798913043478262</v>
      </c>
      <c r="D43" t="s">
        <v>134</v>
      </c>
    </row>
    <row r="44" spans="1:4" x14ac:dyDescent="0.25">
      <c r="A44">
        <v>9756</v>
      </c>
      <c r="B44" t="s">
        <v>124</v>
      </c>
      <c r="C44">
        <v>25.991</v>
      </c>
      <c r="D44" t="s">
        <v>134</v>
      </c>
    </row>
    <row r="45" spans="1:4" x14ac:dyDescent="0.25">
      <c r="A45">
        <v>9755</v>
      </c>
      <c r="B45" t="s">
        <v>124</v>
      </c>
      <c r="C45">
        <v>3.894716666666667</v>
      </c>
      <c r="D45" t="s">
        <v>134</v>
      </c>
    </row>
    <row r="46" spans="1:4" x14ac:dyDescent="0.25">
      <c r="A46">
        <v>9753</v>
      </c>
      <c r="B46" t="s">
        <v>124</v>
      </c>
      <c r="C46">
        <v>33.583061224489796</v>
      </c>
      <c r="D46" t="s">
        <v>134</v>
      </c>
    </row>
    <row r="47" spans="1:4" x14ac:dyDescent="0.25">
      <c r="A47">
        <v>9752</v>
      </c>
      <c r="B47" t="s">
        <v>124</v>
      </c>
      <c r="C47">
        <v>2.4940236686390533</v>
      </c>
      <c r="D47" t="s">
        <v>134</v>
      </c>
    </row>
    <row r="48" spans="1:4" x14ac:dyDescent="0.25">
      <c r="A48">
        <v>9751</v>
      </c>
      <c r="B48" t="s">
        <v>124</v>
      </c>
      <c r="C48">
        <v>4.1157250000000003</v>
      </c>
      <c r="D48" t="s">
        <v>134</v>
      </c>
    </row>
    <row r="49" spans="1:4" x14ac:dyDescent="0.25">
      <c r="A49">
        <v>9747</v>
      </c>
      <c r="B49" t="s">
        <v>125</v>
      </c>
      <c r="C49">
        <v>5</v>
      </c>
      <c r="D49" t="s">
        <v>134</v>
      </c>
    </row>
    <row r="50" spans="1:4" x14ac:dyDescent="0.25">
      <c r="A50">
        <v>9746</v>
      </c>
      <c r="B50" t="s">
        <v>124</v>
      </c>
      <c r="C50">
        <v>6.8367666666666667</v>
      </c>
      <c r="D50" t="s">
        <v>134</v>
      </c>
    </row>
    <row r="51" spans="1:4" x14ac:dyDescent="0.25">
      <c r="A51">
        <v>9745</v>
      </c>
      <c r="B51" t="s">
        <v>124</v>
      </c>
      <c r="C51">
        <v>2.6293333333333333</v>
      </c>
      <c r="D51" t="s">
        <v>134</v>
      </c>
    </row>
    <row r="52" spans="1:4" x14ac:dyDescent="0.25">
      <c r="A52">
        <v>9744</v>
      </c>
      <c r="B52" t="s">
        <v>124</v>
      </c>
      <c r="C52">
        <v>1.193025</v>
      </c>
      <c r="D52" t="s">
        <v>134</v>
      </c>
    </row>
    <row r="53" spans="1:4" x14ac:dyDescent="0.25">
      <c r="A53">
        <v>9743</v>
      </c>
      <c r="B53" t="s">
        <v>124</v>
      </c>
      <c r="C53">
        <v>7.8706666666666675E-2</v>
      </c>
      <c r="D53" t="s">
        <v>134</v>
      </c>
    </row>
    <row r="54" spans="1:4" x14ac:dyDescent="0.25">
      <c r="A54">
        <v>9742</v>
      </c>
      <c r="B54" t="s">
        <v>28</v>
      </c>
      <c r="C54">
        <v>0.33</v>
      </c>
      <c r="D54" t="s">
        <v>134</v>
      </c>
    </row>
    <row r="55" spans="1:4" x14ac:dyDescent="0.25">
      <c r="A55">
        <v>9741</v>
      </c>
      <c r="B55" t="s">
        <v>124</v>
      </c>
      <c r="C55">
        <v>7.7725499999999998</v>
      </c>
      <c r="D55" t="s">
        <v>134</v>
      </c>
    </row>
    <row r="56" spans="1:4" x14ac:dyDescent="0.25">
      <c r="A56">
        <v>9740</v>
      </c>
      <c r="B56" t="s">
        <v>124</v>
      </c>
      <c r="C56">
        <v>40.133125</v>
      </c>
      <c r="D56" t="s">
        <v>134</v>
      </c>
    </row>
    <row r="57" spans="1:4" x14ac:dyDescent="0.25">
      <c r="A57">
        <v>9739</v>
      </c>
      <c r="B57" t="s">
        <v>124</v>
      </c>
      <c r="C57">
        <v>9.32</v>
      </c>
      <c r="D57" t="s">
        <v>134</v>
      </c>
    </row>
    <row r="58" spans="1:4" x14ac:dyDescent="0.25">
      <c r="A58">
        <v>9736</v>
      </c>
      <c r="B58" t="s">
        <v>124</v>
      </c>
      <c r="C58">
        <v>22.263000000000002</v>
      </c>
      <c r="D58" t="s">
        <v>134</v>
      </c>
    </row>
    <row r="59" spans="1:4" x14ac:dyDescent="0.25">
      <c r="A59">
        <v>96</v>
      </c>
      <c r="B59" t="s">
        <v>124</v>
      </c>
      <c r="C59">
        <v>7.5999999999999998E-2</v>
      </c>
      <c r="D59" t="s">
        <v>134</v>
      </c>
    </row>
    <row r="60" spans="1:4" x14ac:dyDescent="0.25">
      <c r="A60">
        <v>9350</v>
      </c>
      <c r="B60" t="s">
        <v>124</v>
      </c>
      <c r="C60">
        <v>6.7720000000000002E-2</v>
      </c>
      <c r="D60" t="s">
        <v>134</v>
      </c>
    </row>
    <row r="61" spans="1:4" x14ac:dyDescent="0.25">
      <c r="A61">
        <v>9345</v>
      </c>
      <c r="B61" t="s">
        <v>124</v>
      </c>
      <c r="C61">
        <v>60.85</v>
      </c>
      <c r="D61" t="s">
        <v>134</v>
      </c>
    </row>
    <row r="62" spans="1:4" x14ac:dyDescent="0.25">
      <c r="A62">
        <v>9288</v>
      </c>
      <c r="B62" t="s">
        <v>125</v>
      </c>
      <c r="C62">
        <v>0.4</v>
      </c>
      <c r="D62" t="s">
        <v>134</v>
      </c>
    </row>
    <row r="63" spans="1:4" x14ac:dyDescent="0.25">
      <c r="A63">
        <v>9286</v>
      </c>
      <c r="B63" t="s">
        <v>125</v>
      </c>
      <c r="C63">
        <v>1.3</v>
      </c>
      <c r="D63" t="s">
        <v>134</v>
      </c>
    </row>
    <row r="64" spans="1:4" x14ac:dyDescent="0.25">
      <c r="A64">
        <v>9285</v>
      </c>
      <c r="B64" t="s">
        <v>125</v>
      </c>
      <c r="C64">
        <v>1.3</v>
      </c>
      <c r="D64" t="s">
        <v>134</v>
      </c>
    </row>
    <row r="65" spans="1:4" x14ac:dyDescent="0.25">
      <c r="A65">
        <v>9284</v>
      </c>
      <c r="B65" t="s">
        <v>125</v>
      </c>
      <c r="C65">
        <v>0.3</v>
      </c>
      <c r="D65" t="s">
        <v>134</v>
      </c>
    </row>
    <row r="66" spans="1:4" x14ac:dyDescent="0.25">
      <c r="A66">
        <v>9282</v>
      </c>
      <c r="B66" t="s">
        <v>28</v>
      </c>
      <c r="C66">
        <v>0.5</v>
      </c>
      <c r="D66" t="s">
        <v>134</v>
      </c>
    </row>
    <row r="67" spans="1:4" x14ac:dyDescent="0.25">
      <c r="A67">
        <v>9281</v>
      </c>
      <c r="B67" t="s">
        <v>125</v>
      </c>
      <c r="C67">
        <v>0.5</v>
      </c>
      <c r="D67" t="s">
        <v>134</v>
      </c>
    </row>
    <row r="68" spans="1:4" x14ac:dyDescent="0.25">
      <c r="A68">
        <v>9280</v>
      </c>
      <c r="B68" t="s">
        <v>125</v>
      </c>
      <c r="C68">
        <v>0.5</v>
      </c>
      <c r="D68" t="s">
        <v>134</v>
      </c>
    </row>
    <row r="69" spans="1:4" x14ac:dyDescent="0.25">
      <c r="A69">
        <v>9279</v>
      </c>
      <c r="B69" t="s">
        <v>125</v>
      </c>
      <c r="C69">
        <v>0.5</v>
      </c>
      <c r="D69" t="s">
        <v>134</v>
      </c>
    </row>
    <row r="70" spans="1:4" x14ac:dyDescent="0.25">
      <c r="A70">
        <v>9278</v>
      </c>
      <c r="B70" t="s">
        <v>28</v>
      </c>
      <c r="C70">
        <v>1.1440000000000001</v>
      </c>
      <c r="D70" t="s">
        <v>134</v>
      </c>
    </row>
    <row r="71" spans="1:4" x14ac:dyDescent="0.25">
      <c r="A71">
        <v>9277</v>
      </c>
      <c r="B71" t="s">
        <v>28</v>
      </c>
      <c r="C71">
        <v>1.31</v>
      </c>
      <c r="D71" t="s">
        <v>134</v>
      </c>
    </row>
    <row r="72" spans="1:4" x14ac:dyDescent="0.25">
      <c r="A72">
        <v>9276</v>
      </c>
      <c r="B72" t="s">
        <v>28</v>
      </c>
      <c r="C72">
        <v>1.31</v>
      </c>
      <c r="D72" t="s">
        <v>134</v>
      </c>
    </row>
    <row r="73" spans="1:4" x14ac:dyDescent="0.25">
      <c r="A73">
        <v>9275</v>
      </c>
      <c r="B73" t="s">
        <v>125</v>
      </c>
      <c r="C73">
        <v>1.1016129032258064</v>
      </c>
      <c r="D73" t="s">
        <v>134</v>
      </c>
    </row>
    <row r="74" spans="1:4" x14ac:dyDescent="0.25">
      <c r="A74">
        <v>9274</v>
      </c>
      <c r="B74" t="s">
        <v>28</v>
      </c>
      <c r="C74">
        <v>1.1018000000000001</v>
      </c>
      <c r="D74" t="s">
        <v>134</v>
      </c>
    </row>
    <row r="75" spans="1:4" x14ac:dyDescent="0.25">
      <c r="A75">
        <v>9273</v>
      </c>
      <c r="B75" t="s">
        <v>28</v>
      </c>
      <c r="C75">
        <v>1.1898</v>
      </c>
      <c r="D75" t="s">
        <v>134</v>
      </c>
    </row>
    <row r="76" spans="1:4" x14ac:dyDescent="0.25">
      <c r="A76">
        <v>9270</v>
      </c>
      <c r="B76" t="s">
        <v>28</v>
      </c>
      <c r="C76">
        <v>0.35</v>
      </c>
      <c r="D76" t="s">
        <v>134</v>
      </c>
    </row>
    <row r="77" spans="1:4" x14ac:dyDescent="0.25">
      <c r="A77">
        <v>9267</v>
      </c>
      <c r="B77" t="s">
        <v>28</v>
      </c>
      <c r="C77">
        <v>0.85</v>
      </c>
      <c r="D77" t="s">
        <v>134</v>
      </c>
    </row>
    <row r="78" spans="1:4" x14ac:dyDescent="0.25">
      <c r="A78">
        <v>9266</v>
      </c>
      <c r="B78" t="s">
        <v>28</v>
      </c>
      <c r="C78">
        <v>0.84739999999999993</v>
      </c>
      <c r="D78" t="s">
        <v>134</v>
      </c>
    </row>
    <row r="79" spans="1:4" x14ac:dyDescent="0.25">
      <c r="A79">
        <v>9262</v>
      </c>
      <c r="B79" t="s">
        <v>28</v>
      </c>
      <c r="C79">
        <v>0.5</v>
      </c>
      <c r="D79" t="s">
        <v>134</v>
      </c>
    </row>
    <row r="80" spans="1:4" x14ac:dyDescent="0.25">
      <c r="A80">
        <v>9261</v>
      </c>
      <c r="B80" t="s">
        <v>28</v>
      </c>
      <c r="C80">
        <v>0.6</v>
      </c>
      <c r="D80" t="s">
        <v>134</v>
      </c>
    </row>
    <row r="81" spans="1:4" x14ac:dyDescent="0.25">
      <c r="A81">
        <v>9260</v>
      </c>
      <c r="B81" t="s">
        <v>28</v>
      </c>
      <c r="C81">
        <v>0.36</v>
      </c>
      <c r="D81" t="s">
        <v>134</v>
      </c>
    </row>
    <row r="82" spans="1:4" x14ac:dyDescent="0.25">
      <c r="A82">
        <v>9259</v>
      </c>
      <c r="B82" t="s">
        <v>28</v>
      </c>
      <c r="C82">
        <v>0.45</v>
      </c>
      <c r="D82" t="s">
        <v>134</v>
      </c>
    </row>
    <row r="83" spans="1:4" x14ac:dyDescent="0.25">
      <c r="A83">
        <v>9258</v>
      </c>
      <c r="B83" t="s">
        <v>28</v>
      </c>
      <c r="C83">
        <v>0.45</v>
      </c>
      <c r="D83" t="s">
        <v>134</v>
      </c>
    </row>
    <row r="84" spans="1:4" x14ac:dyDescent="0.25">
      <c r="A84">
        <v>9257</v>
      </c>
      <c r="B84" t="s">
        <v>28</v>
      </c>
      <c r="C84">
        <v>0.6</v>
      </c>
      <c r="D84" t="s">
        <v>134</v>
      </c>
    </row>
    <row r="85" spans="1:4" x14ac:dyDescent="0.25">
      <c r="A85">
        <v>9253</v>
      </c>
      <c r="B85" t="s">
        <v>124</v>
      </c>
      <c r="C85">
        <v>13.509433962264151</v>
      </c>
      <c r="D85" t="s">
        <v>134</v>
      </c>
    </row>
    <row r="86" spans="1:4" x14ac:dyDescent="0.25">
      <c r="A86">
        <v>9252</v>
      </c>
      <c r="B86" t="s">
        <v>124</v>
      </c>
      <c r="C86">
        <v>1.9002791666666665</v>
      </c>
      <c r="D86" t="s">
        <v>134</v>
      </c>
    </row>
    <row r="87" spans="1:4" x14ac:dyDescent="0.25">
      <c r="A87">
        <v>9251</v>
      </c>
      <c r="B87" t="s">
        <v>124</v>
      </c>
      <c r="C87">
        <v>8.6534999999999993</v>
      </c>
      <c r="D87" t="s">
        <v>134</v>
      </c>
    </row>
    <row r="88" spans="1:4" x14ac:dyDescent="0.25">
      <c r="A88">
        <v>9250</v>
      </c>
      <c r="B88" t="s">
        <v>124</v>
      </c>
      <c r="C88">
        <v>8.2308000000000003</v>
      </c>
      <c r="D88" t="s">
        <v>134</v>
      </c>
    </row>
    <row r="89" spans="1:4" x14ac:dyDescent="0.25">
      <c r="A89">
        <v>9249</v>
      </c>
      <c r="B89" t="s">
        <v>124</v>
      </c>
      <c r="C89">
        <v>12.4587</v>
      </c>
      <c r="D89" t="s">
        <v>134</v>
      </c>
    </row>
    <row r="90" spans="1:4" x14ac:dyDescent="0.25">
      <c r="A90">
        <v>9248</v>
      </c>
      <c r="B90" t="s">
        <v>124</v>
      </c>
      <c r="C90">
        <v>12.878699999999998</v>
      </c>
      <c r="D90" t="s">
        <v>134</v>
      </c>
    </row>
    <row r="91" spans="1:4" x14ac:dyDescent="0.25">
      <c r="A91">
        <v>9247</v>
      </c>
      <c r="B91" t="s">
        <v>124</v>
      </c>
      <c r="C91">
        <v>1.216191</v>
      </c>
      <c r="D91" t="s">
        <v>134</v>
      </c>
    </row>
    <row r="92" spans="1:4" x14ac:dyDescent="0.25">
      <c r="A92">
        <v>9246</v>
      </c>
      <c r="B92" t="s">
        <v>124</v>
      </c>
      <c r="C92">
        <v>1.2747121301775148</v>
      </c>
      <c r="D92" t="s">
        <v>134</v>
      </c>
    </row>
    <row r="93" spans="1:4" x14ac:dyDescent="0.25">
      <c r="A93">
        <v>9245</v>
      </c>
      <c r="B93" t="s">
        <v>124</v>
      </c>
      <c r="C93">
        <v>0.53</v>
      </c>
      <c r="D93" t="s">
        <v>134</v>
      </c>
    </row>
    <row r="94" spans="1:4" x14ac:dyDescent="0.25">
      <c r="A94">
        <v>9244</v>
      </c>
      <c r="B94" t="s">
        <v>124</v>
      </c>
      <c r="C94">
        <v>1.051187323943662</v>
      </c>
      <c r="D94" t="s">
        <v>134</v>
      </c>
    </row>
    <row r="95" spans="1:4" x14ac:dyDescent="0.25">
      <c r="A95">
        <v>9243</v>
      </c>
      <c r="B95" t="s">
        <v>124</v>
      </c>
      <c r="C95">
        <v>0.92943999999999993</v>
      </c>
      <c r="D95" t="s">
        <v>134</v>
      </c>
    </row>
    <row r="96" spans="1:4" x14ac:dyDescent="0.25">
      <c r="A96">
        <v>9242</v>
      </c>
      <c r="B96" t="s">
        <v>124</v>
      </c>
      <c r="C96">
        <v>9.214370588235294</v>
      </c>
      <c r="D96" t="s">
        <v>134</v>
      </c>
    </row>
    <row r="97" spans="1:4" x14ac:dyDescent="0.25">
      <c r="A97">
        <v>9234</v>
      </c>
      <c r="B97" t="s">
        <v>124</v>
      </c>
      <c r="C97">
        <v>20.76</v>
      </c>
      <c r="D97" t="s">
        <v>134</v>
      </c>
    </row>
    <row r="98" spans="1:4" x14ac:dyDescent="0.25">
      <c r="A98">
        <v>9219</v>
      </c>
      <c r="B98" t="s">
        <v>124</v>
      </c>
      <c r="C98">
        <v>3.56</v>
      </c>
      <c r="D98" t="s">
        <v>134</v>
      </c>
    </row>
    <row r="99" spans="1:4" x14ac:dyDescent="0.25">
      <c r="A99">
        <v>9216</v>
      </c>
      <c r="B99" t="s">
        <v>124</v>
      </c>
      <c r="C99">
        <v>2.4575</v>
      </c>
      <c r="D99" t="s">
        <v>134</v>
      </c>
    </row>
    <row r="100" spans="1:4" x14ac:dyDescent="0.25">
      <c r="A100">
        <v>9212</v>
      </c>
      <c r="B100" t="s">
        <v>124</v>
      </c>
      <c r="C100">
        <v>2.7962500000000001</v>
      </c>
      <c r="D100" t="s">
        <v>134</v>
      </c>
    </row>
    <row r="101" spans="1:4" x14ac:dyDescent="0.25">
      <c r="A101">
        <v>9203</v>
      </c>
      <c r="B101" t="s">
        <v>124</v>
      </c>
      <c r="C101">
        <v>100</v>
      </c>
      <c r="D101" t="s">
        <v>134</v>
      </c>
    </row>
    <row r="102" spans="1:4" x14ac:dyDescent="0.25">
      <c r="A102">
        <v>91</v>
      </c>
      <c r="B102" t="s">
        <v>124</v>
      </c>
      <c r="C102">
        <v>11.44</v>
      </c>
      <c r="D102" t="s">
        <v>134</v>
      </c>
    </row>
    <row r="103" spans="1:4" x14ac:dyDescent="0.25">
      <c r="A103">
        <v>8</v>
      </c>
      <c r="B103" t="s">
        <v>124</v>
      </c>
      <c r="C103">
        <v>11.865</v>
      </c>
      <c r="D103" t="s">
        <v>134</v>
      </c>
    </row>
    <row r="104" spans="1:4" x14ac:dyDescent="0.25">
      <c r="A104">
        <v>8998</v>
      </c>
      <c r="B104" t="s">
        <v>126</v>
      </c>
      <c r="C104">
        <v>29.661666666666665</v>
      </c>
      <c r="D104" t="s">
        <v>134</v>
      </c>
    </row>
    <row r="105" spans="1:4" x14ac:dyDescent="0.25">
      <c r="A105">
        <v>8933</v>
      </c>
      <c r="B105" t="s">
        <v>124</v>
      </c>
      <c r="C105">
        <v>10.59</v>
      </c>
      <c r="D105" t="s">
        <v>134</v>
      </c>
    </row>
    <row r="106" spans="1:4" x14ac:dyDescent="0.25">
      <c r="A106">
        <v>8919</v>
      </c>
      <c r="B106" t="s">
        <v>125</v>
      </c>
      <c r="C106">
        <v>0.2</v>
      </c>
      <c r="D106" t="s">
        <v>134</v>
      </c>
    </row>
    <row r="107" spans="1:4" x14ac:dyDescent="0.25">
      <c r="A107">
        <v>8914</v>
      </c>
      <c r="B107" t="s">
        <v>28</v>
      </c>
      <c r="C107">
        <v>0.56779999999999997</v>
      </c>
      <c r="D107" t="s">
        <v>134</v>
      </c>
    </row>
    <row r="108" spans="1:4" x14ac:dyDescent="0.25">
      <c r="A108">
        <v>8907</v>
      </c>
      <c r="B108" t="s">
        <v>124</v>
      </c>
      <c r="C108">
        <v>2.8000000000000003</v>
      </c>
      <c r="D108" t="s">
        <v>134</v>
      </c>
    </row>
    <row r="109" spans="1:4" x14ac:dyDescent="0.25">
      <c r="A109">
        <v>8906</v>
      </c>
      <c r="B109" t="s">
        <v>124</v>
      </c>
      <c r="C109">
        <v>2.2999999999999998</v>
      </c>
      <c r="D109" t="s">
        <v>134</v>
      </c>
    </row>
    <row r="110" spans="1:4" x14ac:dyDescent="0.25">
      <c r="A110">
        <v>8900</v>
      </c>
      <c r="B110" t="s">
        <v>124</v>
      </c>
      <c r="C110">
        <v>11.825000000000001</v>
      </c>
      <c r="D110" t="s">
        <v>134</v>
      </c>
    </row>
    <row r="111" spans="1:4" x14ac:dyDescent="0.25">
      <c r="A111">
        <v>8898</v>
      </c>
      <c r="B111" t="s">
        <v>124</v>
      </c>
      <c r="C111">
        <v>220.34</v>
      </c>
      <c r="D111" t="s">
        <v>134</v>
      </c>
    </row>
    <row r="112" spans="1:4" x14ac:dyDescent="0.25">
      <c r="A112">
        <v>8896</v>
      </c>
      <c r="B112" t="s">
        <v>125</v>
      </c>
      <c r="C112">
        <v>9.3699999999999992</v>
      </c>
      <c r="D112" t="s">
        <v>134</v>
      </c>
    </row>
    <row r="113" spans="1:4" x14ac:dyDescent="0.25">
      <c r="A113">
        <v>8894</v>
      </c>
      <c r="B113" t="s">
        <v>125</v>
      </c>
      <c r="C113">
        <v>2.8824999999999998</v>
      </c>
      <c r="D113" t="s">
        <v>134</v>
      </c>
    </row>
    <row r="114" spans="1:4" x14ac:dyDescent="0.25">
      <c r="A114">
        <v>8890</v>
      </c>
      <c r="B114" t="s">
        <v>125</v>
      </c>
      <c r="C114">
        <v>0.75</v>
      </c>
      <c r="D114" t="s">
        <v>134</v>
      </c>
    </row>
    <row r="115" spans="1:4" x14ac:dyDescent="0.25">
      <c r="A115">
        <v>8887</v>
      </c>
      <c r="B115" t="s">
        <v>125</v>
      </c>
      <c r="C115">
        <v>0.25</v>
      </c>
      <c r="D115" t="s">
        <v>134</v>
      </c>
    </row>
    <row r="116" spans="1:4" x14ac:dyDescent="0.25">
      <c r="A116">
        <v>8881</v>
      </c>
      <c r="B116" t="s">
        <v>124</v>
      </c>
      <c r="C116">
        <v>1.6723600000000001</v>
      </c>
      <c r="D116" t="s">
        <v>134</v>
      </c>
    </row>
    <row r="117" spans="1:4" x14ac:dyDescent="0.25">
      <c r="A117">
        <v>8878</v>
      </c>
      <c r="B117" t="s">
        <v>124</v>
      </c>
      <c r="C117">
        <v>14.721052631578948</v>
      </c>
      <c r="D117" t="s">
        <v>134</v>
      </c>
    </row>
    <row r="118" spans="1:4" x14ac:dyDescent="0.25">
      <c r="A118">
        <v>8873</v>
      </c>
      <c r="B118" t="s">
        <v>28</v>
      </c>
      <c r="C118">
        <v>9.3200000000000005E-2</v>
      </c>
      <c r="D118" t="s">
        <v>134</v>
      </c>
    </row>
    <row r="119" spans="1:4" x14ac:dyDescent="0.25">
      <c r="A119">
        <v>8872</v>
      </c>
      <c r="B119" t="s">
        <v>124</v>
      </c>
      <c r="C119">
        <v>8.7584878048780492</v>
      </c>
      <c r="D119" t="s">
        <v>134</v>
      </c>
    </row>
    <row r="120" spans="1:4" x14ac:dyDescent="0.25">
      <c r="A120">
        <v>8871</v>
      </c>
      <c r="B120" t="s">
        <v>124</v>
      </c>
      <c r="C120">
        <v>6.1690048309178742</v>
      </c>
      <c r="D120" t="s">
        <v>134</v>
      </c>
    </row>
    <row r="121" spans="1:4" x14ac:dyDescent="0.25">
      <c r="A121">
        <v>8870</v>
      </c>
      <c r="B121" t="s">
        <v>124</v>
      </c>
      <c r="C121">
        <v>9.7222909090909084</v>
      </c>
      <c r="D121" t="s">
        <v>134</v>
      </c>
    </row>
    <row r="122" spans="1:4" x14ac:dyDescent="0.25">
      <c r="A122">
        <v>8869</v>
      </c>
      <c r="B122" t="s">
        <v>124</v>
      </c>
      <c r="C122">
        <v>1.5417222222222222</v>
      </c>
      <c r="D122" t="s">
        <v>134</v>
      </c>
    </row>
    <row r="123" spans="1:4" x14ac:dyDescent="0.25">
      <c r="A123">
        <v>8868</v>
      </c>
      <c r="B123" t="s">
        <v>124</v>
      </c>
      <c r="C123">
        <v>65.913333333333341</v>
      </c>
      <c r="D123" t="s">
        <v>134</v>
      </c>
    </row>
    <row r="124" spans="1:4" x14ac:dyDescent="0.25">
      <c r="A124">
        <v>8867</v>
      </c>
      <c r="B124" t="s">
        <v>124</v>
      </c>
      <c r="C124">
        <v>0.37451000000000001</v>
      </c>
      <c r="D124" t="s">
        <v>134</v>
      </c>
    </row>
    <row r="125" spans="1:4" x14ac:dyDescent="0.25">
      <c r="A125">
        <v>8866</v>
      </c>
      <c r="B125" t="s">
        <v>124</v>
      </c>
      <c r="C125">
        <v>14.300986590038315</v>
      </c>
      <c r="D125" t="s">
        <v>134</v>
      </c>
    </row>
    <row r="126" spans="1:4" x14ac:dyDescent="0.25">
      <c r="A126">
        <v>8865</v>
      </c>
      <c r="B126" t="s">
        <v>124</v>
      </c>
      <c r="C126">
        <v>23.787424999999999</v>
      </c>
      <c r="D126" t="s">
        <v>134</v>
      </c>
    </row>
    <row r="127" spans="1:4" x14ac:dyDescent="0.25">
      <c r="A127">
        <v>8864</v>
      </c>
      <c r="B127" t="s">
        <v>124</v>
      </c>
      <c r="C127">
        <v>15.641111111111112</v>
      </c>
      <c r="D127" t="s">
        <v>134</v>
      </c>
    </row>
    <row r="128" spans="1:4" x14ac:dyDescent="0.25">
      <c r="A128">
        <v>8863</v>
      </c>
      <c r="B128" t="s">
        <v>124</v>
      </c>
      <c r="C128">
        <v>28.288</v>
      </c>
      <c r="D128" t="s">
        <v>134</v>
      </c>
    </row>
    <row r="129" spans="1:4" x14ac:dyDescent="0.25">
      <c r="A129">
        <v>8862</v>
      </c>
      <c r="B129" t="s">
        <v>124</v>
      </c>
      <c r="C129">
        <v>1.1821733333333335</v>
      </c>
      <c r="D129" t="s">
        <v>134</v>
      </c>
    </row>
    <row r="130" spans="1:4" x14ac:dyDescent="0.25">
      <c r="A130">
        <v>8861</v>
      </c>
      <c r="B130" t="s">
        <v>124</v>
      </c>
      <c r="C130">
        <v>1.7301633333333333</v>
      </c>
      <c r="D130" t="s">
        <v>134</v>
      </c>
    </row>
    <row r="131" spans="1:4" x14ac:dyDescent="0.25">
      <c r="A131">
        <v>8860</v>
      </c>
      <c r="B131" t="s">
        <v>124</v>
      </c>
      <c r="C131">
        <v>2.2180266666666668</v>
      </c>
      <c r="D131" t="s">
        <v>134</v>
      </c>
    </row>
    <row r="132" spans="1:4" x14ac:dyDescent="0.25">
      <c r="A132">
        <v>8859</v>
      </c>
      <c r="B132" t="s">
        <v>124</v>
      </c>
      <c r="C132">
        <v>34.308499999999995</v>
      </c>
      <c r="D132" t="s">
        <v>134</v>
      </c>
    </row>
    <row r="133" spans="1:4" x14ac:dyDescent="0.25">
      <c r="A133">
        <v>8856</v>
      </c>
      <c r="B133" t="s">
        <v>28</v>
      </c>
      <c r="C133">
        <v>59.24</v>
      </c>
      <c r="D133" t="s">
        <v>134</v>
      </c>
    </row>
    <row r="134" spans="1:4" x14ac:dyDescent="0.25">
      <c r="A134">
        <v>8851</v>
      </c>
      <c r="B134" t="s">
        <v>124</v>
      </c>
      <c r="C134">
        <v>10</v>
      </c>
      <c r="D134" t="s">
        <v>134</v>
      </c>
    </row>
    <row r="135" spans="1:4" x14ac:dyDescent="0.25">
      <c r="A135">
        <v>8850</v>
      </c>
      <c r="B135" t="s">
        <v>125</v>
      </c>
      <c r="C135">
        <v>19.581666666666667</v>
      </c>
      <c r="D135" t="s">
        <v>134</v>
      </c>
    </row>
    <row r="136" spans="1:4" x14ac:dyDescent="0.25">
      <c r="A136">
        <v>8846</v>
      </c>
      <c r="B136" t="s">
        <v>125</v>
      </c>
      <c r="C136">
        <v>0.68</v>
      </c>
      <c r="D136" t="s">
        <v>134</v>
      </c>
    </row>
    <row r="137" spans="1:4" x14ac:dyDescent="0.25">
      <c r="A137">
        <v>8842</v>
      </c>
      <c r="B137" t="s">
        <v>125</v>
      </c>
      <c r="C137">
        <v>5.9299999999999999E-2</v>
      </c>
      <c r="D137" t="s">
        <v>134</v>
      </c>
    </row>
    <row r="138" spans="1:4" x14ac:dyDescent="0.25">
      <c r="A138">
        <v>8841</v>
      </c>
      <c r="B138" t="s">
        <v>125</v>
      </c>
      <c r="C138">
        <v>14.41</v>
      </c>
      <c r="D138" t="s">
        <v>134</v>
      </c>
    </row>
    <row r="139" spans="1:4" x14ac:dyDescent="0.25">
      <c r="A139">
        <v>883</v>
      </c>
      <c r="B139" t="s">
        <v>126</v>
      </c>
      <c r="C139">
        <v>1.4946000000000002</v>
      </c>
      <c r="D139" t="s">
        <v>134</v>
      </c>
    </row>
    <row r="140" spans="1:4" x14ac:dyDescent="0.25">
      <c r="A140">
        <v>8835</v>
      </c>
      <c r="B140" t="s">
        <v>125</v>
      </c>
      <c r="C140">
        <v>25.594999999999999</v>
      </c>
      <c r="D140" t="s">
        <v>134</v>
      </c>
    </row>
    <row r="141" spans="1:4" x14ac:dyDescent="0.25">
      <c r="A141">
        <v>8833</v>
      </c>
      <c r="B141" t="s">
        <v>125</v>
      </c>
      <c r="C141">
        <v>20.254999999999999</v>
      </c>
      <c r="D141" t="s">
        <v>134</v>
      </c>
    </row>
    <row r="142" spans="1:4" x14ac:dyDescent="0.25">
      <c r="A142">
        <v>8829</v>
      </c>
      <c r="B142" t="s">
        <v>125</v>
      </c>
      <c r="C142">
        <v>7.9649999999999999</v>
      </c>
      <c r="D142" t="s">
        <v>134</v>
      </c>
    </row>
    <row r="143" spans="1:4" x14ac:dyDescent="0.25">
      <c r="A143">
        <v>8822</v>
      </c>
      <c r="B143" t="s">
        <v>125</v>
      </c>
      <c r="C143">
        <v>1.95</v>
      </c>
      <c r="D143" t="s">
        <v>134</v>
      </c>
    </row>
    <row r="144" spans="1:4" x14ac:dyDescent="0.25">
      <c r="A144">
        <v>8821</v>
      </c>
      <c r="B144" t="s">
        <v>125</v>
      </c>
      <c r="C144">
        <v>4.3220000000000001</v>
      </c>
      <c r="D144" t="s">
        <v>134</v>
      </c>
    </row>
    <row r="145" spans="1:4" x14ac:dyDescent="0.25">
      <c r="A145">
        <v>8819</v>
      </c>
      <c r="B145" t="s">
        <v>125</v>
      </c>
      <c r="C145">
        <v>2.1040000000000001</v>
      </c>
      <c r="D145" t="s">
        <v>134</v>
      </c>
    </row>
    <row r="146" spans="1:4" x14ac:dyDescent="0.25">
      <c r="A146">
        <v>8809</v>
      </c>
      <c r="B146" t="s">
        <v>28</v>
      </c>
      <c r="C146">
        <v>0.16950000000000001</v>
      </c>
      <c r="D146" t="s">
        <v>134</v>
      </c>
    </row>
    <row r="147" spans="1:4" x14ac:dyDescent="0.25">
      <c r="A147">
        <v>8805</v>
      </c>
      <c r="B147" t="s">
        <v>125</v>
      </c>
      <c r="C147">
        <v>2.9</v>
      </c>
      <c r="D147" t="s">
        <v>134</v>
      </c>
    </row>
    <row r="148" spans="1:4" x14ac:dyDescent="0.25">
      <c r="A148">
        <v>8803</v>
      </c>
      <c r="B148" t="s">
        <v>125</v>
      </c>
      <c r="C148">
        <v>10.66</v>
      </c>
      <c r="D148" t="s">
        <v>134</v>
      </c>
    </row>
    <row r="149" spans="1:4" x14ac:dyDescent="0.25">
      <c r="A149">
        <v>8802</v>
      </c>
      <c r="B149" t="s">
        <v>125</v>
      </c>
      <c r="C149">
        <v>10.66</v>
      </c>
      <c r="D149" t="s">
        <v>134</v>
      </c>
    </row>
    <row r="150" spans="1:4" x14ac:dyDescent="0.25">
      <c r="A150">
        <v>8800</v>
      </c>
      <c r="B150" t="s">
        <v>28</v>
      </c>
      <c r="C150">
        <v>0.13550000000000001</v>
      </c>
      <c r="D150" t="s">
        <v>134</v>
      </c>
    </row>
    <row r="151" spans="1:4" x14ac:dyDescent="0.25">
      <c r="A151">
        <v>87</v>
      </c>
      <c r="B151" t="s">
        <v>124</v>
      </c>
      <c r="C151">
        <v>7.625</v>
      </c>
      <c r="D151" t="s">
        <v>134</v>
      </c>
    </row>
    <row r="152" spans="1:4" x14ac:dyDescent="0.25">
      <c r="A152">
        <v>8787</v>
      </c>
      <c r="B152" t="s">
        <v>125</v>
      </c>
      <c r="C152">
        <v>3.3066666666666666</v>
      </c>
      <c r="D152" t="s">
        <v>134</v>
      </c>
    </row>
    <row r="153" spans="1:4" x14ac:dyDescent="0.25">
      <c r="A153">
        <v>8786</v>
      </c>
      <c r="B153" t="s">
        <v>125</v>
      </c>
      <c r="C153">
        <v>6.78</v>
      </c>
      <c r="D153" t="s">
        <v>134</v>
      </c>
    </row>
    <row r="154" spans="1:4" x14ac:dyDescent="0.25">
      <c r="A154">
        <v>877</v>
      </c>
      <c r="B154" t="s">
        <v>126</v>
      </c>
      <c r="C154">
        <v>5.0846666666666662</v>
      </c>
      <c r="D154" t="s">
        <v>134</v>
      </c>
    </row>
    <row r="155" spans="1:4" x14ac:dyDescent="0.25">
      <c r="A155">
        <v>8767</v>
      </c>
      <c r="B155" t="s">
        <v>28</v>
      </c>
      <c r="C155">
        <v>0.13550000000000001</v>
      </c>
      <c r="D155" t="s">
        <v>134</v>
      </c>
    </row>
    <row r="156" spans="1:4" x14ac:dyDescent="0.25">
      <c r="A156">
        <v>8764</v>
      </c>
      <c r="B156" t="s">
        <v>28</v>
      </c>
      <c r="C156">
        <v>4.5200000000000004E-2</v>
      </c>
      <c r="D156" t="s">
        <v>134</v>
      </c>
    </row>
    <row r="157" spans="1:4" x14ac:dyDescent="0.25">
      <c r="A157">
        <v>8762</v>
      </c>
      <c r="B157" t="s">
        <v>28</v>
      </c>
      <c r="C157">
        <v>6.7866666666666658E-2</v>
      </c>
      <c r="D157" t="s">
        <v>134</v>
      </c>
    </row>
    <row r="158" spans="1:4" x14ac:dyDescent="0.25">
      <c r="A158">
        <v>8742</v>
      </c>
      <c r="B158" t="s">
        <v>125</v>
      </c>
      <c r="C158">
        <v>12.711833333333335</v>
      </c>
      <c r="D158" t="s">
        <v>134</v>
      </c>
    </row>
    <row r="159" spans="1:4" x14ac:dyDescent="0.25">
      <c r="A159">
        <v>8740</v>
      </c>
      <c r="B159" t="s">
        <v>28</v>
      </c>
      <c r="C159">
        <v>0.15</v>
      </c>
      <c r="D159" t="s">
        <v>134</v>
      </c>
    </row>
    <row r="160" spans="1:4" x14ac:dyDescent="0.25">
      <c r="A160">
        <v>8728</v>
      </c>
      <c r="B160" t="s">
        <v>124</v>
      </c>
      <c r="C160">
        <v>5.085</v>
      </c>
      <c r="D160" t="s">
        <v>134</v>
      </c>
    </row>
    <row r="161" spans="1:4" x14ac:dyDescent="0.25">
      <c r="A161">
        <v>8727</v>
      </c>
      <c r="B161" t="s">
        <v>124</v>
      </c>
      <c r="C161">
        <v>5.0866666666666669</v>
      </c>
      <c r="D161" t="s">
        <v>134</v>
      </c>
    </row>
    <row r="162" spans="1:4" x14ac:dyDescent="0.25">
      <c r="A162">
        <v>8723</v>
      </c>
      <c r="B162" t="s">
        <v>124</v>
      </c>
      <c r="C162">
        <v>23.560000000000002</v>
      </c>
      <c r="D162" t="s">
        <v>134</v>
      </c>
    </row>
    <row r="163" spans="1:4" x14ac:dyDescent="0.25">
      <c r="A163">
        <v>8716</v>
      </c>
      <c r="B163" t="s">
        <v>125</v>
      </c>
      <c r="C163">
        <v>20.34</v>
      </c>
      <c r="D163" t="s">
        <v>134</v>
      </c>
    </row>
    <row r="164" spans="1:4" x14ac:dyDescent="0.25">
      <c r="A164">
        <v>8715</v>
      </c>
      <c r="B164" t="s">
        <v>125</v>
      </c>
      <c r="C164">
        <v>20.338750000000001</v>
      </c>
      <c r="D164" t="s">
        <v>134</v>
      </c>
    </row>
    <row r="165" spans="1:4" x14ac:dyDescent="0.25">
      <c r="A165">
        <v>8700</v>
      </c>
      <c r="B165" t="s">
        <v>125</v>
      </c>
      <c r="C165">
        <v>14.3225</v>
      </c>
      <c r="D165" t="s">
        <v>134</v>
      </c>
    </row>
    <row r="166" spans="1:4" x14ac:dyDescent="0.25">
      <c r="A166">
        <v>86</v>
      </c>
      <c r="B166" t="s">
        <v>124</v>
      </c>
      <c r="C166">
        <v>5.085</v>
      </c>
      <c r="D166" t="s">
        <v>134</v>
      </c>
    </row>
    <row r="167" spans="1:4" x14ac:dyDescent="0.25">
      <c r="A167">
        <v>8699</v>
      </c>
      <c r="B167" t="s">
        <v>125</v>
      </c>
      <c r="C167">
        <v>0.84499999999999997</v>
      </c>
      <c r="D167" t="s">
        <v>134</v>
      </c>
    </row>
    <row r="168" spans="1:4" x14ac:dyDescent="0.25">
      <c r="A168">
        <v>868</v>
      </c>
      <c r="B168" t="s">
        <v>126</v>
      </c>
      <c r="C168">
        <v>2.0057575757575759</v>
      </c>
      <c r="D168" t="s">
        <v>134</v>
      </c>
    </row>
    <row r="169" spans="1:4" x14ac:dyDescent="0.25">
      <c r="A169">
        <v>8686</v>
      </c>
      <c r="B169" t="s">
        <v>125</v>
      </c>
      <c r="C169">
        <v>110</v>
      </c>
      <c r="D169" t="s">
        <v>134</v>
      </c>
    </row>
    <row r="170" spans="1:4" x14ac:dyDescent="0.25">
      <c r="A170">
        <v>867</v>
      </c>
      <c r="B170" t="s">
        <v>126</v>
      </c>
      <c r="C170">
        <v>2.0055999999999998</v>
      </c>
      <c r="D170" t="s">
        <v>134</v>
      </c>
    </row>
    <row r="171" spans="1:4" x14ac:dyDescent="0.25">
      <c r="A171">
        <v>8679</v>
      </c>
      <c r="B171" t="s">
        <v>124</v>
      </c>
      <c r="C171">
        <v>35</v>
      </c>
      <c r="D171" t="s">
        <v>134</v>
      </c>
    </row>
    <row r="172" spans="1:4" x14ac:dyDescent="0.25">
      <c r="A172">
        <v>8677</v>
      </c>
      <c r="B172" t="s">
        <v>124</v>
      </c>
      <c r="C172">
        <v>47.46</v>
      </c>
      <c r="D172" t="s">
        <v>134</v>
      </c>
    </row>
    <row r="173" spans="1:4" x14ac:dyDescent="0.25">
      <c r="A173">
        <v>8676</v>
      </c>
      <c r="B173" t="s">
        <v>125</v>
      </c>
      <c r="C173">
        <v>8.75</v>
      </c>
      <c r="D173" t="s">
        <v>134</v>
      </c>
    </row>
    <row r="174" spans="1:4" x14ac:dyDescent="0.25">
      <c r="A174">
        <v>8675</v>
      </c>
      <c r="B174" t="s">
        <v>125</v>
      </c>
      <c r="C174">
        <v>0.2034</v>
      </c>
      <c r="D174" t="s">
        <v>134</v>
      </c>
    </row>
    <row r="175" spans="1:4" x14ac:dyDescent="0.25">
      <c r="A175">
        <v>8674</v>
      </c>
      <c r="B175" t="s">
        <v>125</v>
      </c>
      <c r="C175">
        <v>0.28809999999999997</v>
      </c>
      <c r="D175" t="s">
        <v>134</v>
      </c>
    </row>
    <row r="176" spans="1:4" x14ac:dyDescent="0.25">
      <c r="A176">
        <v>8673</v>
      </c>
      <c r="B176" t="s">
        <v>28</v>
      </c>
      <c r="C176">
        <v>0.1186</v>
      </c>
      <c r="D176" t="s">
        <v>134</v>
      </c>
    </row>
    <row r="177" spans="1:4" x14ac:dyDescent="0.25">
      <c r="A177">
        <v>8672</v>
      </c>
      <c r="B177" t="s">
        <v>28</v>
      </c>
      <c r="C177">
        <v>6.8599999999999994E-2</v>
      </c>
      <c r="D177" t="s">
        <v>134</v>
      </c>
    </row>
    <row r="178" spans="1:4" x14ac:dyDescent="0.25">
      <c r="A178">
        <v>8671</v>
      </c>
      <c r="B178" t="s">
        <v>28</v>
      </c>
      <c r="C178">
        <v>0.19</v>
      </c>
      <c r="D178" t="s">
        <v>134</v>
      </c>
    </row>
    <row r="179" spans="1:4" x14ac:dyDescent="0.25">
      <c r="A179">
        <v>8670</v>
      </c>
      <c r="B179" t="s">
        <v>28</v>
      </c>
      <c r="C179">
        <v>0.11869999999999999</v>
      </c>
      <c r="D179" t="s">
        <v>134</v>
      </c>
    </row>
    <row r="180" spans="1:4" x14ac:dyDescent="0.25">
      <c r="A180">
        <v>8669</v>
      </c>
      <c r="B180" t="s">
        <v>28</v>
      </c>
      <c r="C180">
        <v>8.3900000000000002E-2</v>
      </c>
      <c r="D180" t="s">
        <v>134</v>
      </c>
    </row>
    <row r="181" spans="1:4" x14ac:dyDescent="0.25">
      <c r="A181">
        <v>8668</v>
      </c>
      <c r="B181" t="s">
        <v>28</v>
      </c>
      <c r="C181">
        <v>0.2</v>
      </c>
      <c r="D181" t="s">
        <v>134</v>
      </c>
    </row>
    <row r="182" spans="1:4" x14ac:dyDescent="0.25">
      <c r="A182">
        <v>8667</v>
      </c>
      <c r="B182" t="s">
        <v>124</v>
      </c>
      <c r="C182">
        <v>76.03</v>
      </c>
      <c r="D182" t="s">
        <v>134</v>
      </c>
    </row>
    <row r="183" spans="1:4" x14ac:dyDescent="0.25">
      <c r="A183">
        <v>8665</v>
      </c>
      <c r="B183" t="s">
        <v>124</v>
      </c>
      <c r="C183">
        <v>84.008810572687224</v>
      </c>
      <c r="D183" t="s">
        <v>134</v>
      </c>
    </row>
    <row r="184" spans="1:4" x14ac:dyDescent="0.25">
      <c r="A184">
        <v>8664</v>
      </c>
      <c r="B184" t="s">
        <v>124</v>
      </c>
      <c r="C184">
        <v>26.356000000000002</v>
      </c>
      <c r="D184" t="s">
        <v>134</v>
      </c>
    </row>
    <row r="185" spans="1:4" x14ac:dyDescent="0.25">
      <c r="A185">
        <v>8661</v>
      </c>
      <c r="B185" t="s">
        <v>125</v>
      </c>
      <c r="C185">
        <v>0.85</v>
      </c>
      <c r="D185" t="s">
        <v>134</v>
      </c>
    </row>
    <row r="186" spans="1:4" x14ac:dyDescent="0.25">
      <c r="A186">
        <v>865</v>
      </c>
      <c r="B186" t="s">
        <v>126</v>
      </c>
      <c r="C186">
        <v>2.0055555555555555</v>
      </c>
      <c r="D186" t="s">
        <v>134</v>
      </c>
    </row>
    <row r="187" spans="1:4" x14ac:dyDescent="0.25">
      <c r="A187">
        <v>8658</v>
      </c>
      <c r="B187" t="s">
        <v>28</v>
      </c>
      <c r="C187">
        <v>0.26689999999999997</v>
      </c>
      <c r="D187" t="s">
        <v>134</v>
      </c>
    </row>
    <row r="188" spans="1:4" x14ac:dyDescent="0.25">
      <c r="A188">
        <v>8654</v>
      </c>
      <c r="B188" t="s">
        <v>28</v>
      </c>
      <c r="C188">
        <v>80</v>
      </c>
      <c r="D188" t="s">
        <v>134</v>
      </c>
    </row>
    <row r="189" spans="1:4" x14ac:dyDescent="0.25">
      <c r="A189">
        <v>8653</v>
      </c>
      <c r="B189" t="s">
        <v>124</v>
      </c>
      <c r="C189">
        <v>4.2000000000000003E-2</v>
      </c>
      <c r="D189" t="s">
        <v>134</v>
      </c>
    </row>
    <row r="190" spans="1:4" x14ac:dyDescent="0.25">
      <c r="A190">
        <v>864</v>
      </c>
      <c r="B190" t="s">
        <v>126</v>
      </c>
      <c r="C190">
        <v>2.0055555555555555</v>
      </c>
      <c r="D190" t="s">
        <v>134</v>
      </c>
    </row>
    <row r="191" spans="1:4" x14ac:dyDescent="0.25">
      <c r="A191">
        <v>8647</v>
      </c>
      <c r="B191" t="s">
        <v>28</v>
      </c>
      <c r="C191">
        <v>5.9799999999999999E-2</v>
      </c>
      <c r="D191" t="s">
        <v>134</v>
      </c>
    </row>
    <row r="192" spans="1:4" x14ac:dyDescent="0.25">
      <c r="A192">
        <v>8644</v>
      </c>
      <c r="B192" t="s">
        <v>28</v>
      </c>
      <c r="C192">
        <v>0.38130000000000003</v>
      </c>
      <c r="D192" t="s">
        <v>134</v>
      </c>
    </row>
    <row r="193" spans="1:4" x14ac:dyDescent="0.25">
      <c r="A193">
        <v>8643</v>
      </c>
      <c r="B193" t="s">
        <v>28</v>
      </c>
      <c r="C193">
        <v>0.24590000000000001</v>
      </c>
      <c r="D193" t="s">
        <v>134</v>
      </c>
    </row>
    <row r="194" spans="1:4" x14ac:dyDescent="0.25">
      <c r="A194">
        <v>8642</v>
      </c>
      <c r="B194" t="s">
        <v>124</v>
      </c>
      <c r="C194">
        <v>1.4088475626937165E-2</v>
      </c>
      <c r="D194" t="s">
        <v>134</v>
      </c>
    </row>
    <row r="195" spans="1:4" x14ac:dyDescent="0.25">
      <c r="A195">
        <v>859</v>
      </c>
      <c r="B195" t="s">
        <v>126</v>
      </c>
      <c r="C195">
        <v>2.4573333333333331</v>
      </c>
      <c r="D195" t="s">
        <v>134</v>
      </c>
    </row>
    <row r="196" spans="1:4" x14ac:dyDescent="0.25">
      <c r="A196">
        <v>8582</v>
      </c>
      <c r="B196" t="s">
        <v>124</v>
      </c>
      <c r="C196">
        <v>1.9449049999999999</v>
      </c>
      <c r="D196" t="s">
        <v>134</v>
      </c>
    </row>
    <row r="197" spans="1:4" x14ac:dyDescent="0.25">
      <c r="A197">
        <v>8579</v>
      </c>
      <c r="B197" t="s">
        <v>124</v>
      </c>
      <c r="C197">
        <v>4</v>
      </c>
      <c r="D197" t="s">
        <v>134</v>
      </c>
    </row>
    <row r="198" spans="1:4" x14ac:dyDescent="0.25">
      <c r="A198">
        <v>8577</v>
      </c>
      <c r="B198" t="s">
        <v>124</v>
      </c>
      <c r="C198">
        <v>1</v>
      </c>
      <c r="D198" t="s">
        <v>134</v>
      </c>
    </row>
    <row r="199" spans="1:4" x14ac:dyDescent="0.25">
      <c r="A199">
        <v>8574</v>
      </c>
      <c r="B199" t="s">
        <v>124</v>
      </c>
      <c r="C199">
        <v>1.9403999999999999</v>
      </c>
      <c r="D199" t="s">
        <v>134</v>
      </c>
    </row>
    <row r="200" spans="1:4" x14ac:dyDescent="0.25">
      <c r="A200">
        <v>8573</v>
      </c>
      <c r="B200" t="s">
        <v>124</v>
      </c>
      <c r="C200">
        <v>4.3</v>
      </c>
      <c r="D200" t="s">
        <v>134</v>
      </c>
    </row>
    <row r="201" spans="1:4" x14ac:dyDescent="0.25">
      <c r="A201">
        <v>8572</v>
      </c>
      <c r="B201" t="s">
        <v>124</v>
      </c>
      <c r="C201">
        <v>15.463157894736844</v>
      </c>
      <c r="D201" t="s">
        <v>134</v>
      </c>
    </row>
    <row r="202" spans="1:4" x14ac:dyDescent="0.25">
      <c r="A202">
        <v>8571</v>
      </c>
      <c r="B202" t="s">
        <v>124</v>
      </c>
      <c r="C202">
        <v>34.128472222222221</v>
      </c>
      <c r="D202" t="s">
        <v>134</v>
      </c>
    </row>
    <row r="203" spans="1:4" x14ac:dyDescent="0.25">
      <c r="A203">
        <v>8567</v>
      </c>
      <c r="B203" t="s">
        <v>124</v>
      </c>
      <c r="C203">
        <v>4.4400812500000004</v>
      </c>
      <c r="D203" t="s">
        <v>134</v>
      </c>
    </row>
    <row r="204" spans="1:4" x14ac:dyDescent="0.25">
      <c r="A204">
        <v>8566</v>
      </c>
      <c r="B204" t="s">
        <v>124</v>
      </c>
      <c r="C204">
        <v>3.4422571428571431</v>
      </c>
      <c r="D204" t="s">
        <v>134</v>
      </c>
    </row>
    <row r="205" spans="1:4" x14ac:dyDescent="0.25">
      <c r="A205">
        <v>8565</v>
      </c>
      <c r="B205" t="s">
        <v>124</v>
      </c>
      <c r="C205">
        <v>14.01817543859649</v>
      </c>
      <c r="D205" t="s">
        <v>134</v>
      </c>
    </row>
    <row r="206" spans="1:4" x14ac:dyDescent="0.25">
      <c r="A206">
        <v>8564</v>
      </c>
      <c r="B206" t="s">
        <v>124</v>
      </c>
      <c r="C206">
        <v>47.788866666666671</v>
      </c>
      <c r="D206" t="s">
        <v>134</v>
      </c>
    </row>
    <row r="207" spans="1:4" x14ac:dyDescent="0.25">
      <c r="A207">
        <v>8562</v>
      </c>
      <c r="B207" t="s">
        <v>124</v>
      </c>
      <c r="C207">
        <v>5.5553399999999993</v>
      </c>
      <c r="D207" t="s">
        <v>134</v>
      </c>
    </row>
    <row r="208" spans="1:4" x14ac:dyDescent="0.25">
      <c r="A208">
        <v>8561</v>
      </c>
      <c r="B208" t="s">
        <v>124</v>
      </c>
      <c r="C208">
        <v>34.244635193133043</v>
      </c>
      <c r="D208" t="s">
        <v>134</v>
      </c>
    </row>
    <row r="209" spans="1:4" x14ac:dyDescent="0.25">
      <c r="A209">
        <v>8558</v>
      </c>
      <c r="B209" t="s">
        <v>124</v>
      </c>
      <c r="C209">
        <v>13.955266666666667</v>
      </c>
      <c r="D209" t="s">
        <v>134</v>
      </c>
    </row>
    <row r="210" spans="1:4" x14ac:dyDescent="0.25">
      <c r="A210">
        <v>8557</v>
      </c>
      <c r="B210" t="s">
        <v>124</v>
      </c>
      <c r="C210">
        <v>25.641025641025642</v>
      </c>
      <c r="D210" t="s">
        <v>134</v>
      </c>
    </row>
    <row r="211" spans="1:4" x14ac:dyDescent="0.25">
      <c r="A211">
        <v>8556</v>
      </c>
      <c r="B211" t="s">
        <v>124</v>
      </c>
      <c r="C211">
        <v>1.5608</v>
      </c>
      <c r="D211" t="s">
        <v>134</v>
      </c>
    </row>
    <row r="212" spans="1:4" x14ac:dyDescent="0.25">
      <c r="A212">
        <v>8555</v>
      </c>
      <c r="B212" t="s">
        <v>124</v>
      </c>
      <c r="C212">
        <v>26.0215</v>
      </c>
      <c r="D212" t="s">
        <v>134</v>
      </c>
    </row>
    <row r="213" spans="1:4" x14ac:dyDescent="0.25">
      <c r="A213">
        <v>8554</v>
      </c>
      <c r="B213" t="s">
        <v>124</v>
      </c>
      <c r="C213">
        <v>0.90941935483870961</v>
      </c>
      <c r="D213" t="s">
        <v>134</v>
      </c>
    </row>
    <row r="214" spans="1:4" x14ac:dyDescent="0.25">
      <c r="A214">
        <v>8553</v>
      </c>
      <c r="B214" t="s">
        <v>124</v>
      </c>
      <c r="C214">
        <v>61.482313787638674</v>
      </c>
      <c r="D214" t="s">
        <v>134</v>
      </c>
    </row>
    <row r="215" spans="1:4" x14ac:dyDescent="0.25">
      <c r="A215">
        <v>8552</v>
      </c>
      <c r="B215" t="s">
        <v>124</v>
      </c>
      <c r="C215">
        <v>10.603698412698414</v>
      </c>
      <c r="D215" t="s">
        <v>134</v>
      </c>
    </row>
    <row r="216" spans="1:4" x14ac:dyDescent="0.25">
      <c r="A216">
        <v>8551</v>
      </c>
      <c r="B216" t="s">
        <v>124</v>
      </c>
      <c r="C216">
        <v>8.4647874999999999</v>
      </c>
      <c r="D216" t="s">
        <v>134</v>
      </c>
    </row>
    <row r="217" spans="1:4" x14ac:dyDescent="0.25">
      <c r="A217">
        <v>8549</v>
      </c>
      <c r="B217" t="s">
        <v>124</v>
      </c>
      <c r="C217">
        <v>3.1145652173913048</v>
      </c>
      <c r="D217" t="s">
        <v>134</v>
      </c>
    </row>
    <row r="218" spans="1:4" x14ac:dyDescent="0.25">
      <c r="A218">
        <v>8548</v>
      </c>
      <c r="B218" t="s">
        <v>124</v>
      </c>
      <c r="C218">
        <v>85.99</v>
      </c>
      <c r="D218" t="s">
        <v>134</v>
      </c>
    </row>
    <row r="219" spans="1:4" x14ac:dyDescent="0.25">
      <c r="A219">
        <v>8547</v>
      </c>
      <c r="B219" t="s">
        <v>124</v>
      </c>
      <c r="C219">
        <v>0.3278650406504065</v>
      </c>
      <c r="D219" t="s">
        <v>134</v>
      </c>
    </row>
    <row r="220" spans="1:4" x14ac:dyDescent="0.25">
      <c r="A220">
        <v>8546</v>
      </c>
      <c r="B220" t="s">
        <v>124</v>
      </c>
      <c r="C220">
        <v>0.5779569105691057</v>
      </c>
      <c r="D220" t="s">
        <v>134</v>
      </c>
    </row>
    <row r="221" spans="1:4" x14ac:dyDescent="0.25">
      <c r="A221">
        <v>8545</v>
      </c>
      <c r="B221" t="s">
        <v>124</v>
      </c>
      <c r="C221">
        <v>0.2788919491525424</v>
      </c>
      <c r="D221" t="s">
        <v>134</v>
      </c>
    </row>
    <row r="222" spans="1:4" x14ac:dyDescent="0.25">
      <c r="A222">
        <v>8544</v>
      </c>
      <c r="B222" t="s">
        <v>124</v>
      </c>
      <c r="C222">
        <v>1.9643103448275863</v>
      </c>
      <c r="D222" t="s">
        <v>134</v>
      </c>
    </row>
    <row r="223" spans="1:4" x14ac:dyDescent="0.25">
      <c r="A223">
        <v>8543</v>
      </c>
      <c r="B223" t="s">
        <v>124</v>
      </c>
      <c r="C223">
        <v>0.96943999999999997</v>
      </c>
      <c r="D223" t="s">
        <v>134</v>
      </c>
    </row>
    <row r="224" spans="1:4" x14ac:dyDescent="0.25">
      <c r="A224">
        <v>8542</v>
      </c>
      <c r="B224" t="s">
        <v>124</v>
      </c>
      <c r="C224">
        <v>11.318983333333334</v>
      </c>
      <c r="D224" t="s">
        <v>134</v>
      </c>
    </row>
    <row r="225" spans="1:4" x14ac:dyDescent="0.25">
      <c r="A225">
        <v>8541</v>
      </c>
      <c r="B225" t="s">
        <v>124</v>
      </c>
      <c r="C225">
        <v>78.421093749999997</v>
      </c>
      <c r="D225" t="s">
        <v>134</v>
      </c>
    </row>
    <row r="226" spans="1:4" x14ac:dyDescent="0.25">
      <c r="A226">
        <v>8540</v>
      </c>
      <c r="B226" t="s">
        <v>124</v>
      </c>
      <c r="C226">
        <v>1.6665714285714288</v>
      </c>
      <c r="D226" t="s">
        <v>134</v>
      </c>
    </row>
    <row r="227" spans="1:4" x14ac:dyDescent="0.25">
      <c r="A227">
        <v>8539</v>
      </c>
      <c r="B227" t="s">
        <v>124</v>
      </c>
      <c r="C227">
        <v>4.0115966386554618</v>
      </c>
      <c r="D227" t="s">
        <v>134</v>
      </c>
    </row>
    <row r="228" spans="1:4" x14ac:dyDescent="0.25">
      <c r="A228">
        <v>8537</v>
      </c>
      <c r="B228" t="s">
        <v>124</v>
      </c>
      <c r="C228">
        <v>15.939774999999999</v>
      </c>
      <c r="D228" t="s">
        <v>134</v>
      </c>
    </row>
    <row r="229" spans="1:4" x14ac:dyDescent="0.25">
      <c r="A229">
        <v>8533</v>
      </c>
      <c r="B229" t="s">
        <v>124</v>
      </c>
      <c r="C229">
        <v>2.6189166666666663</v>
      </c>
      <c r="D229" t="s">
        <v>134</v>
      </c>
    </row>
    <row r="230" spans="1:4" x14ac:dyDescent="0.25">
      <c r="A230">
        <v>8528</v>
      </c>
      <c r="B230" t="s">
        <v>124</v>
      </c>
      <c r="C230">
        <v>3.2805541666666667</v>
      </c>
      <c r="D230" t="s">
        <v>134</v>
      </c>
    </row>
    <row r="231" spans="1:4" x14ac:dyDescent="0.25">
      <c r="A231">
        <v>8524</v>
      </c>
      <c r="B231" t="s">
        <v>124</v>
      </c>
      <c r="C231">
        <v>3.6455927272727271</v>
      </c>
      <c r="D231" t="s">
        <v>134</v>
      </c>
    </row>
    <row r="232" spans="1:4" x14ac:dyDescent="0.25">
      <c r="A232">
        <v>8523</v>
      </c>
      <c r="B232" t="s">
        <v>124</v>
      </c>
      <c r="C232">
        <v>1.2022533333333334</v>
      </c>
      <c r="D232" t="s">
        <v>134</v>
      </c>
    </row>
    <row r="233" spans="1:4" x14ac:dyDescent="0.25">
      <c r="A233">
        <v>8522</v>
      </c>
      <c r="B233" t="s">
        <v>124</v>
      </c>
      <c r="C233">
        <v>3.6745571428571431</v>
      </c>
      <c r="D233" t="s">
        <v>134</v>
      </c>
    </row>
    <row r="234" spans="1:4" x14ac:dyDescent="0.25">
      <c r="A234">
        <v>8521</v>
      </c>
      <c r="B234" t="s">
        <v>124</v>
      </c>
      <c r="C234">
        <v>5.7793122807017543</v>
      </c>
      <c r="D234" t="s">
        <v>134</v>
      </c>
    </row>
    <row r="235" spans="1:4" x14ac:dyDescent="0.25">
      <c r="A235">
        <v>8519</v>
      </c>
      <c r="B235" t="s">
        <v>124</v>
      </c>
      <c r="C235">
        <v>1.0822783950617285</v>
      </c>
      <c r="D235" t="s">
        <v>134</v>
      </c>
    </row>
    <row r="236" spans="1:4" x14ac:dyDescent="0.25">
      <c r="A236">
        <v>8518</v>
      </c>
      <c r="B236" t="s">
        <v>124</v>
      </c>
      <c r="C236">
        <v>5.8292200000000003</v>
      </c>
      <c r="D236" t="s">
        <v>134</v>
      </c>
    </row>
    <row r="237" spans="1:4" x14ac:dyDescent="0.25">
      <c r="A237">
        <v>8516</v>
      </c>
      <c r="B237" t="s">
        <v>124</v>
      </c>
      <c r="C237">
        <v>16.177906249999999</v>
      </c>
      <c r="D237" t="s">
        <v>134</v>
      </c>
    </row>
    <row r="238" spans="1:4" x14ac:dyDescent="0.25">
      <c r="A238">
        <v>8515</v>
      </c>
      <c r="B238" t="s">
        <v>124</v>
      </c>
      <c r="C238">
        <v>20.529846547314577</v>
      </c>
      <c r="D238" t="s">
        <v>134</v>
      </c>
    </row>
    <row r="239" spans="1:4" x14ac:dyDescent="0.25">
      <c r="A239">
        <v>8514</v>
      </c>
      <c r="B239" t="s">
        <v>124</v>
      </c>
      <c r="C239">
        <v>33.54212594037336</v>
      </c>
      <c r="D239" t="s">
        <v>134</v>
      </c>
    </row>
    <row r="240" spans="1:4" x14ac:dyDescent="0.25">
      <c r="A240">
        <v>8513</v>
      </c>
      <c r="B240" t="s">
        <v>124</v>
      </c>
      <c r="C240">
        <v>1.2271006993006994</v>
      </c>
      <c r="D240" t="s">
        <v>134</v>
      </c>
    </row>
    <row r="241" spans="1:4" x14ac:dyDescent="0.25">
      <c r="A241">
        <v>8509</v>
      </c>
      <c r="B241" t="s">
        <v>124</v>
      </c>
      <c r="C241">
        <v>6.1638076463560347</v>
      </c>
      <c r="D241" t="s">
        <v>134</v>
      </c>
    </row>
    <row r="242" spans="1:4" x14ac:dyDescent="0.25">
      <c r="A242">
        <v>8505</v>
      </c>
      <c r="B242" t="s">
        <v>124</v>
      </c>
      <c r="C242">
        <v>14.836388888888889</v>
      </c>
      <c r="D242" t="s">
        <v>134</v>
      </c>
    </row>
    <row r="243" spans="1:4" x14ac:dyDescent="0.25">
      <c r="A243">
        <v>8504</v>
      </c>
      <c r="B243" t="s">
        <v>124</v>
      </c>
      <c r="C243">
        <v>1.9383290322580646</v>
      </c>
      <c r="D243" t="s">
        <v>134</v>
      </c>
    </row>
    <row r="244" spans="1:4" x14ac:dyDescent="0.25">
      <c r="A244">
        <v>8503</v>
      </c>
      <c r="B244" t="s">
        <v>124</v>
      </c>
      <c r="C244">
        <v>3.8917521172638438</v>
      </c>
      <c r="D244" t="s">
        <v>134</v>
      </c>
    </row>
    <row r="245" spans="1:4" x14ac:dyDescent="0.25">
      <c r="A245">
        <v>8503</v>
      </c>
      <c r="B245" t="s">
        <v>124</v>
      </c>
      <c r="C245">
        <v>3.8134848484848485</v>
      </c>
      <c r="D245" t="s">
        <v>134</v>
      </c>
    </row>
    <row r="246" spans="1:4" x14ac:dyDescent="0.25">
      <c r="A246">
        <v>8502</v>
      </c>
      <c r="B246" t="s">
        <v>124</v>
      </c>
      <c r="C246">
        <v>3.4314534653465345</v>
      </c>
      <c r="D246" t="s">
        <v>134</v>
      </c>
    </row>
    <row r="247" spans="1:4" x14ac:dyDescent="0.25">
      <c r="A247">
        <v>8502</v>
      </c>
      <c r="B247" t="s">
        <v>124</v>
      </c>
      <c r="C247">
        <v>3.8134375</v>
      </c>
      <c r="D247" t="s">
        <v>134</v>
      </c>
    </row>
    <row r="248" spans="1:4" x14ac:dyDescent="0.25">
      <c r="A248">
        <v>8501</v>
      </c>
      <c r="B248" t="s">
        <v>124</v>
      </c>
      <c r="C248">
        <v>40.701340000000002</v>
      </c>
      <c r="D248" t="s">
        <v>134</v>
      </c>
    </row>
    <row r="249" spans="1:4" x14ac:dyDescent="0.25">
      <c r="A249">
        <v>8500</v>
      </c>
      <c r="B249" t="s">
        <v>124</v>
      </c>
      <c r="C249">
        <v>37.406200000000005</v>
      </c>
      <c r="D249" t="s">
        <v>134</v>
      </c>
    </row>
    <row r="250" spans="1:4" x14ac:dyDescent="0.25">
      <c r="A250">
        <v>8499</v>
      </c>
      <c r="B250" t="s">
        <v>124</v>
      </c>
      <c r="C250">
        <v>28.680767955801102</v>
      </c>
      <c r="D250" t="s">
        <v>134</v>
      </c>
    </row>
    <row r="251" spans="1:4" x14ac:dyDescent="0.25">
      <c r="A251">
        <v>8498</v>
      </c>
      <c r="B251" t="s">
        <v>124</v>
      </c>
      <c r="C251">
        <v>30.344983333333332</v>
      </c>
      <c r="D251" t="s">
        <v>134</v>
      </c>
    </row>
    <row r="252" spans="1:4" x14ac:dyDescent="0.25">
      <c r="A252">
        <v>8497</v>
      </c>
      <c r="B252" t="s">
        <v>124</v>
      </c>
      <c r="C252">
        <v>13.508841666666667</v>
      </c>
      <c r="D252" t="s">
        <v>134</v>
      </c>
    </row>
    <row r="253" spans="1:4" x14ac:dyDescent="0.25">
      <c r="A253">
        <v>8496</v>
      </c>
      <c r="B253" t="s">
        <v>124</v>
      </c>
      <c r="C253">
        <v>5.8258152173913045</v>
      </c>
      <c r="D253" t="s">
        <v>134</v>
      </c>
    </row>
    <row r="254" spans="1:4" x14ac:dyDescent="0.25">
      <c r="A254">
        <v>8495</v>
      </c>
      <c r="B254" t="s">
        <v>124</v>
      </c>
      <c r="C254">
        <v>3.3436258064516129</v>
      </c>
      <c r="D254" t="s">
        <v>134</v>
      </c>
    </row>
    <row r="255" spans="1:4" x14ac:dyDescent="0.25">
      <c r="A255">
        <v>8494</v>
      </c>
      <c r="B255" t="s">
        <v>124</v>
      </c>
      <c r="C255">
        <v>75.919600000000003</v>
      </c>
      <c r="D255" t="s">
        <v>134</v>
      </c>
    </row>
    <row r="256" spans="1:4" x14ac:dyDescent="0.25">
      <c r="A256">
        <v>8493</v>
      </c>
      <c r="B256" t="s">
        <v>124</v>
      </c>
      <c r="C256">
        <v>26.791176470588233</v>
      </c>
      <c r="D256" t="s">
        <v>134</v>
      </c>
    </row>
    <row r="257" spans="1:4" x14ac:dyDescent="0.25">
      <c r="A257">
        <v>8492</v>
      </c>
      <c r="B257" t="s">
        <v>124</v>
      </c>
      <c r="C257">
        <v>2.67435</v>
      </c>
      <c r="D257" t="s">
        <v>134</v>
      </c>
    </row>
    <row r="258" spans="1:4" x14ac:dyDescent="0.25">
      <c r="A258">
        <v>8489</v>
      </c>
      <c r="B258" t="s">
        <v>124</v>
      </c>
      <c r="C258">
        <v>0.7664052631578947</v>
      </c>
      <c r="D258" t="s">
        <v>134</v>
      </c>
    </row>
    <row r="259" spans="1:4" x14ac:dyDescent="0.25">
      <c r="A259">
        <v>8487</v>
      </c>
      <c r="B259" t="s">
        <v>124</v>
      </c>
      <c r="C259">
        <v>12.226100000000001</v>
      </c>
      <c r="D259" t="s">
        <v>134</v>
      </c>
    </row>
    <row r="260" spans="1:4" x14ac:dyDescent="0.25">
      <c r="A260">
        <v>8486</v>
      </c>
      <c r="B260" t="s">
        <v>124</v>
      </c>
      <c r="C260">
        <v>0.37118124999999996</v>
      </c>
      <c r="D260" t="s">
        <v>134</v>
      </c>
    </row>
    <row r="261" spans="1:4" x14ac:dyDescent="0.25">
      <c r="A261">
        <v>8485</v>
      </c>
      <c r="B261" t="s">
        <v>124</v>
      </c>
      <c r="C261">
        <v>16.454270270270271</v>
      </c>
      <c r="D261" t="s">
        <v>134</v>
      </c>
    </row>
    <row r="262" spans="1:4" x14ac:dyDescent="0.25">
      <c r="A262">
        <v>8484</v>
      </c>
      <c r="B262" t="s">
        <v>124</v>
      </c>
      <c r="C262">
        <v>3.0058208955223877</v>
      </c>
      <c r="D262" t="s">
        <v>134</v>
      </c>
    </row>
    <row r="263" spans="1:4" x14ac:dyDescent="0.25">
      <c r="A263">
        <v>8483</v>
      </c>
      <c r="B263" t="s">
        <v>124</v>
      </c>
      <c r="C263">
        <v>6.3478421052631573</v>
      </c>
      <c r="D263" t="s">
        <v>134</v>
      </c>
    </row>
    <row r="264" spans="1:4" x14ac:dyDescent="0.25">
      <c r="A264">
        <v>8482</v>
      </c>
      <c r="B264" t="s">
        <v>124</v>
      </c>
      <c r="C264">
        <v>2.0819166666666664</v>
      </c>
      <c r="D264" t="s">
        <v>134</v>
      </c>
    </row>
    <row r="265" spans="1:4" x14ac:dyDescent="0.25">
      <c r="A265">
        <v>8481</v>
      </c>
      <c r="B265" t="s">
        <v>124</v>
      </c>
      <c r="C265">
        <v>0.12278700000000001</v>
      </c>
      <c r="D265" t="s">
        <v>134</v>
      </c>
    </row>
    <row r="266" spans="1:4" x14ac:dyDescent="0.25">
      <c r="A266">
        <v>8480</v>
      </c>
      <c r="B266" t="s">
        <v>124</v>
      </c>
      <c r="C266">
        <v>19.985100845803512</v>
      </c>
      <c r="D266" t="s">
        <v>134</v>
      </c>
    </row>
    <row r="267" spans="1:4" x14ac:dyDescent="0.25">
      <c r="A267">
        <v>847</v>
      </c>
      <c r="B267" t="s">
        <v>126</v>
      </c>
      <c r="C267">
        <v>1.2768333333333333</v>
      </c>
      <c r="D267" t="s">
        <v>134</v>
      </c>
    </row>
    <row r="268" spans="1:4" x14ac:dyDescent="0.25">
      <c r="A268">
        <v>8478</v>
      </c>
      <c r="B268" t="s">
        <v>124</v>
      </c>
      <c r="C268">
        <v>7.3335333333333335</v>
      </c>
      <c r="D268" t="s">
        <v>134</v>
      </c>
    </row>
    <row r="269" spans="1:4" x14ac:dyDescent="0.25">
      <c r="A269">
        <v>8476</v>
      </c>
      <c r="B269" t="s">
        <v>124</v>
      </c>
      <c r="C269">
        <v>10.996103703703705</v>
      </c>
      <c r="D269" t="s">
        <v>134</v>
      </c>
    </row>
    <row r="270" spans="1:4" x14ac:dyDescent="0.25">
      <c r="A270">
        <v>8474</v>
      </c>
      <c r="B270" t="s">
        <v>124</v>
      </c>
      <c r="C270">
        <v>9.6581789473684196</v>
      </c>
      <c r="D270" t="s">
        <v>134</v>
      </c>
    </row>
    <row r="271" spans="1:4" x14ac:dyDescent="0.25">
      <c r="A271">
        <v>8473</v>
      </c>
      <c r="B271" t="s">
        <v>124</v>
      </c>
      <c r="C271">
        <v>8.0028571428571435E-2</v>
      </c>
      <c r="D271" t="s">
        <v>134</v>
      </c>
    </row>
    <row r="272" spans="1:4" x14ac:dyDescent="0.25">
      <c r="A272">
        <v>8472</v>
      </c>
      <c r="B272" t="s">
        <v>124</v>
      </c>
      <c r="C272">
        <v>8.9979999999999993</v>
      </c>
      <c r="D272" t="s">
        <v>134</v>
      </c>
    </row>
    <row r="273" spans="1:4" x14ac:dyDescent="0.25">
      <c r="A273">
        <v>8471</v>
      </c>
      <c r="B273" t="s">
        <v>124</v>
      </c>
      <c r="C273">
        <v>7.6928687499999997</v>
      </c>
      <c r="D273" t="s">
        <v>134</v>
      </c>
    </row>
    <row r="274" spans="1:4" x14ac:dyDescent="0.25">
      <c r="A274">
        <v>8470</v>
      </c>
      <c r="B274" t="s">
        <v>124</v>
      </c>
      <c r="C274">
        <v>0.47120291262135916</v>
      </c>
      <c r="D274" t="s">
        <v>134</v>
      </c>
    </row>
    <row r="275" spans="1:4" x14ac:dyDescent="0.25">
      <c r="A275">
        <v>8468</v>
      </c>
      <c r="B275" t="s">
        <v>124</v>
      </c>
      <c r="C275">
        <v>17.725000000000001</v>
      </c>
      <c r="D275" t="s">
        <v>134</v>
      </c>
    </row>
    <row r="276" spans="1:4" x14ac:dyDescent="0.25">
      <c r="A276">
        <v>8467</v>
      </c>
      <c r="B276" t="s">
        <v>124</v>
      </c>
      <c r="C276">
        <v>2.1126493670886073</v>
      </c>
      <c r="D276" t="s">
        <v>134</v>
      </c>
    </row>
    <row r="277" spans="1:4" x14ac:dyDescent="0.25">
      <c r="A277">
        <v>8465</v>
      </c>
      <c r="B277" t="s">
        <v>124</v>
      </c>
      <c r="C277">
        <v>23.197073684210526</v>
      </c>
      <c r="D277" t="s">
        <v>134</v>
      </c>
    </row>
    <row r="278" spans="1:4" x14ac:dyDescent="0.25">
      <c r="A278">
        <v>8464</v>
      </c>
      <c r="B278" t="s">
        <v>124</v>
      </c>
      <c r="C278">
        <v>2.7020199999999996</v>
      </c>
      <c r="D278" t="s">
        <v>134</v>
      </c>
    </row>
    <row r="279" spans="1:4" x14ac:dyDescent="0.25">
      <c r="A279">
        <v>8463</v>
      </c>
      <c r="B279" t="s">
        <v>124</v>
      </c>
      <c r="C279">
        <v>30.301600000000001</v>
      </c>
      <c r="D279" t="s">
        <v>134</v>
      </c>
    </row>
    <row r="280" spans="1:4" x14ac:dyDescent="0.25">
      <c r="A280">
        <v>845</v>
      </c>
      <c r="B280" t="s">
        <v>126</v>
      </c>
      <c r="C280">
        <v>1.3558518518518519</v>
      </c>
      <c r="D280" t="s">
        <v>134</v>
      </c>
    </row>
    <row r="281" spans="1:4" x14ac:dyDescent="0.25">
      <c r="A281">
        <v>8456</v>
      </c>
      <c r="B281" t="s">
        <v>124</v>
      </c>
      <c r="C281">
        <v>0.52341132075471697</v>
      </c>
      <c r="D281" t="s">
        <v>134</v>
      </c>
    </row>
    <row r="282" spans="1:4" x14ac:dyDescent="0.25">
      <c r="A282">
        <v>8455</v>
      </c>
      <c r="B282" t="s">
        <v>124</v>
      </c>
      <c r="C282">
        <v>8.5680555555555546</v>
      </c>
      <c r="D282" t="s">
        <v>134</v>
      </c>
    </row>
    <row r="283" spans="1:4" x14ac:dyDescent="0.25">
      <c r="A283">
        <v>8449</v>
      </c>
      <c r="B283" t="s">
        <v>124</v>
      </c>
      <c r="C283">
        <v>3.8266666666666662</v>
      </c>
      <c r="D283" t="s">
        <v>134</v>
      </c>
    </row>
    <row r="284" spans="1:4" x14ac:dyDescent="0.25">
      <c r="A284">
        <v>8440</v>
      </c>
      <c r="B284" t="s">
        <v>124</v>
      </c>
      <c r="C284">
        <v>0.41159000000000001</v>
      </c>
      <c r="D284" t="s">
        <v>134</v>
      </c>
    </row>
    <row r="285" spans="1:4" x14ac:dyDescent="0.25">
      <c r="A285">
        <v>8439</v>
      </c>
      <c r="B285" t="s">
        <v>124</v>
      </c>
      <c r="C285">
        <v>0.28348675213675212</v>
      </c>
      <c r="D285" t="s">
        <v>134</v>
      </c>
    </row>
    <row r="286" spans="1:4" x14ac:dyDescent="0.25">
      <c r="A286">
        <v>8434</v>
      </c>
      <c r="B286" t="s">
        <v>124</v>
      </c>
      <c r="C286">
        <v>7.1080528301886794</v>
      </c>
      <c r="D286" t="s">
        <v>134</v>
      </c>
    </row>
    <row r="287" spans="1:4" x14ac:dyDescent="0.25">
      <c r="A287">
        <v>8433</v>
      </c>
      <c r="B287" t="s">
        <v>124</v>
      </c>
      <c r="C287">
        <v>8.8313896336014306</v>
      </c>
      <c r="D287" t="s">
        <v>134</v>
      </c>
    </row>
    <row r="288" spans="1:4" x14ac:dyDescent="0.25">
      <c r="A288">
        <v>8432</v>
      </c>
      <c r="B288" t="s">
        <v>124</v>
      </c>
      <c r="C288">
        <v>2.8115428571428569</v>
      </c>
      <c r="D288" t="s">
        <v>134</v>
      </c>
    </row>
    <row r="289" spans="1:4" x14ac:dyDescent="0.25">
      <c r="A289">
        <v>8431</v>
      </c>
      <c r="B289" t="s">
        <v>124</v>
      </c>
      <c r="C289">
        <v>11.401333333333335</v>
      </c>
      <c r="D289" t="s">
        <v>134</v>
      </c>
    </row>
    <row r="290" spans="1:4" x14ac:dyDescent="0.25">
      <c r="A290">
        <v>8430</v>
      </c>
      <c r="B290" t="s">
        <v>124</v>
      </c>
      <c r="C290">
        <v>13.814444444444446</v>
      </c>
      <c r="D290" t="s">
        <v>134</v>
      </c>
    </row>
    <row r="291" spans="1:4" x14ac:dyDescent="0.25">
      <c r="A291">
        <v>8429</v>
      </c>
      <c r="B291" t="s">
        <v>124</v>
      </c>
      <c r="C291">
        <v>4.9285714285714279</v>
      </c>
      <c r="D291" t="s">
        <v>134</v>
      </c>
    </row>
    <row r="292" spans="1:4" x14ac:dyDescent="0.25">
      <c r="A292">
        <v>8428</v>
      </c>
      <c r="B292" t="s">
        <v>124</v>
      </c>
      <c r="C292">
        <v>74.72999999999999</v>
      </c>
      <c r="D292" t="s">
        <v>134</v>
      </c>
    </row>
    <row r="293" spans="1:4" x14ac:dyDescent="0.25">
      <c r="A293">
        <v>8427</v>
      </c>
      <c r="B293" t="s">
        <v>124</v>
      </c>
      <c r="C293">
        <v>5.46875</v>
      </c>
      <c r="D293" t="s">
        <v>134</v>
      </c>
    </row>
    <row r="294" spans="1:4" x14ac:dyDescent="0.25">
      <c r="A294">
        <v>8426</v>
      </c>
      <c r="B294" t="s">
        <v>124</v>
      </c>
      <c r="C294">
        <v>0.55555555555555558</v>
      </c>
      <c r="D294" t="s">
        <v>134</v>
      </c>
    </row>
    <row r="295" spans="1:4" x14ac:dyDescent="0.25">
      <c r="A295">
        <v>8425</v>
      </c>
      <c r="B295" t="s">
        <v>124</v>
      </c>
      <c r="C295">
        <v>12.089960000000001</v>
      </c>
      <c r="D295" t="s">
        <v>134</v>
      </c>
    </row>
    <row r="296" spans="1:4" x14ac:dyDescent="0.25">
      <c r="A296">
        <v>8424</v>
      </c>
      <c r="B296" t="s">
        <v>124</v>
      </c>
      <c r="C296">
        <v>6.6086600000000004</v>
      </c>
      <c r="D296" t="s">
        <v>134</v>
      </c>
    </row>
    <row r="297" spans="1:4" x14ac:dyDescent="0.25">
      <c r="A297">
        <v>8423</v>
      </c>
      <c r="B297" t="s">
        <v>124</v>
      </c>
      <c r="C297">
        <v>3.6363636363636362</v>
      </c>
      <c r="D297" t="s">
        <v>134</v>
      </c>
    </row>
    <row r="298" spans="1:4" x14ac:dyDescent="0.25">
      <c r="A298">
        <v>8422</v>
      </c>
      <c r="B298" t="s">
        <v>124</v>
      </c>
      <c r="C298">
        <v>16.499999999999996</v>
      </c>
      <c r="D298" t="s">
        <v>134</v>
      </c>
    </row>
    <row r="299" spans="1:4" x14ac:dyDescent="0.25">
      <c r="A299">
        <v>8421</v>
      </c>
      <c r="B299" t="s">
        <v>124</v>
      </c>
      <c r="C299">
        <v>3.7056317460317456</v>
      </c>
      <c r="D299" t="s">
        <v>134</v>
      </c>
    </row>
    <row r="300" spans="1:4" x14ac:dyDescent="0.25">
      <c r="A300">
        <v>8421</v>
      </c>
      <c r="B300" t="s">
        <v>124</v>
      </c>
      <c r="C300">
        <v>8.4746666666666677</v>
      </c>
      <c r="D300" t="s">
        <v>134</v>
      </c>
    </row>
    <row r="301" spans="1:4" x14ac:dyDescent="0.25">
      <c r="A301">
        <v>8420</v>
      </c>
      <c r="B301" t="s">
        <v>124</v>
      </c>
      <c r="C301">
        <v>13.632599999999998</v>
      </c>
      <c r="D301" t="s">
        <v>134</v>
      </c>
    </row>
    <row r="302" spans="1:4" x14ac:dyDescent="0.25">
      <c r="A302">
        <v>8419</v>
      </c>
      <c r="B302" t="s">
        <v>124</v>
      </c>
      <c r="C302">
        <v>1.2659499999999999</v>
      </c>
      <c r="D302" t="s">
        <v>134</v>
      </c>
    </row>
    <row r="303" spans="1:4" x14ac:dyDescent="0.25">
      <c r="A303">
        <v>8412</v>
      </c>
      <c r="B303" t="s">
        <v>124</v>
      </c>
      <c r="C303">
        <v>6.4200199999999992</v>
      </c>
      <c r="D303" t="s">
        <v>134</v>
      </c>
    </row>
    <row r="304" spans="1:4" x14ac:dyDescent="0.25">
      <c r="A304">
        <v>8411</v>
      </c>
      <c r="B304" t="s">
        <v>124</v>
      </c>
      <c r="C304">
        <v>6.6694000000000004</v>
      </c>
      <c r="D304" t="s">
        <v>134</v>
      </c>
    </row>
    <row r="305" spans="1:4" x14ac:dyDescent="0.25">
      <c r="A305">
        <v>8410</v>
      </c>
      <c r="B305" t="s">
        <v>124</v>
      </c>
      <c r="C305">
        <v>19.99050888888889</v>
      </c>
      <c r="D305" t="s">
        <v>134</v>
      </c>
    </row>
    <row r="306" spans="1:4" x14ac:dyDescent="0.25">
      <c r="A306">
        <v>8409</v>
      </c>
      <c r="B306" t="s">
        <v>124</v>
      </c>
      <c r="C306">
        <v>30.684939</v>
      </c>
      <c r="D306" t="s">
        <v>134</v>
      </c>
    </row>
    <row r="307" spans="1:4" x14ac:dyDescent="0.25">
      <c r="A307">
        <v>8408</v>
      </c>
      <c r="B307" t="s">
        <v>124</v>
      </c>
      <c r="C307">
        <v>31.130189610389614</v>
      </c>
      <c r="D307" t="s">
        <v>134</v>
      </c>
    </row>
    <row r="308" spans="1:4" x14ac:dyDescent="0.25">
      <c r="A308">
        <v>8406</v>
      </c>
      <c r="B308" t="s">
        <v>124</v>
      </c>
      <c r="C308">
        <v>19.422025000000001</v>
      </c>
      <c r="D308" t="s">
        <v>134</v>
      </c>
    </row>
    <row r="309" spans="1:4" x14ac:dyDescent="0.25">
      <c r="A309">
        <v>8405</v>
      </c>
      <c r="B309" t="s">
        <v>124</v>
      </c>
      <c r="C309">
        <v>8.3613999999999997</v>
      </c>
      <c r="D309" t="s">
        <v>134</v>
      </c>
    </row>
    <row r="310" spans="1:4" x14ac:dyDescent="0.25">
      <c r="A310">
        <v>8404</v>
      </c>
      <c r="B310" t="s">
        <v>124</v>
      </c>
      <c r="C310">
        <v>12.343500000000001</v>
      </c>
      <c r="D310" t="s">
        <v>134</v>
      </c>
    </row>
    <row r="311" spans="1:4" x14ac:dyDescent="0.25">
      <c r="A311">
        <v>8403</v>
      </c>
      <c r="B311" t="s">
        <v>124</v>
      </c>
      <c r="C311">
        <v>8.9675799999999999</v>
      </c>
      <c r="D311" t="s">
        <v>134</v>
      </c>
    </row>
    <row r="312" spans="1:4" x14ac:dyDescent="0.25">
      <c r="A312">
        <v>83</v>
      </c>
      <c r="B312" t="s">
        <v>124</v>
      </c>
      <c r="C312">
        <v>30</v>
      </c>
      <c r="D312" t="s">
        <v>134</v>
      </c>
    </row>
    <row r="313" spans="1:4" x14ac:dyDescent="0.25">
      <c r="A313">
        <v>8364</v>
      </c>
      <c r="B313" t="s">
        <v>124</v>
      </c>
      <c r="C313">
        <v>19.276190476190475</v>
      </c>
      <c r="D313" t="s">
        <v>134</v>
      </c>
    </row>
    <row r="314" spans="1:4" x14ac:dyDescent="0.25">
      <c r="A314">
        <v>8362</v>
      </c>
      <c r="B314" t="s">
        <v>124</v>
      </c>
      <c r="C314">
        <v>19.007972972972972</v>
      </c>
      <c r="D314" t="s">
        <v>134</v>
      </c>
    </row>
    <row r="315" spans="1:4" x14ac:dyDescent="0.25">
      <c r="A315">
        <v>8361</v>
      </c>
      <c r="B315" t="s">
        <v>124</v>
      </c>
      <c r="C315">
        <v>6.1851546391752583</v>
      </c>
      <c r="D315" t="s">
        <v>134</v>
      </c>
    </row>
    <row r="316" spans="1:4" x14ac:dyDescent="0.25">
      <c r="A316">
        <v>8360</v>
      </c>
      <c r="B316" t="s">
        <v>124</v>
      </c>
      <c r="C316">
        <v>3.4643000000000002</v>
      </c>
      <c r="D316" t="s">
        <v>134</v>
      </c>
    </row>
    <row r="317" spans="1:4" x14ac:dyDescent="0.25">
      <c r="A317">
        <v>8359</v>
      </c>
      <c r="B317" t="s">
        <v>124</v>
      </c>
      <c r="C317">
        <v>10.4686875</v>
      </c>
      <c r="D317" t="s">
        <v>134</v>
      </c>
    </row>
    <row r="318" spans="1:4" x14ac:dyDescent="0.25">
      <c r="A318">
        <v>8358</v>
      </c>
      <c r="B318" t="s">
        <v>124</v>
      </c>
      <c r="C318">
        <v>8.2832354948805467</v>
      </c>
      <c r="D318" t="s">
        <v>134</v>
      </c>
    </row>
    <row r="319" spans="1:4" x14ac:dyDescent="0.25">
      <c r="A319">
        <v>8357</v>
      </c>
      <c r="B319" t="s">
        <v>124</v>
      </c>
      <c r="C319">
        <v>5.9062068965517254</v>
      </c>
      <c r="D319" t="s">
        <v>134</v>
      </c>
    </row>
    <row r="320" spans="1:4" x14ac:dyDescent="0.25">
      <c r="A320">
        <v>8337</v>
      </c>
      <c r="B320" t="s">
        <v>124</v>
      </c>
      <c r="C320">
        <v>11.221</v>
      </c>
      <c r="D320" t="s">
        <v>134</v>
      </c>
    </row>
    <row r="321" spans="1:4" x14ac:dyDescent="0.25">
      <c r="A321">
        <v>8336</v>
      </c>
      <c r="B321" t="s">
        <v>124</v>
      </c>
      <c r="C321">
        <v>7.4032333333333327</v>
      </c>
      <c r="D321" t="s">
        <v>134</v>
      </c>
    </row>
    <row r="322" spans="1:4" x14ac:dyDescent="0.25">
      <c r="A322">
        <v>8335</v>
      </c>
      <c r="B322" t="s">
        <v>124</v>
      </c>
      <c r="C322">
        <v>0.55991999999999997</v>
      </c>
      <c r="D322" t="s">
        <v>134</v>
      </c>
    </row>
    <row r="323" spans="1:4" x14ac:dyDescent="0.25">
      <c r="A323">
        <v>8334</v>
      </c>
      <c r="B323" t="s">
        <v>124</v>
      </c>
      <c r="C323">
        <v>1.6800957559995271</v>
      </c>
      <c r="D323" t="s">
        <v>134</v>
      </c>
    </row>
    <row r="324" spans="1:4" x14ac:dyDescent="0.25">
      <c r="A324">
        <v>8261</v>
      </c>
      <c r="B324" t="s">
        <v>124</v>
      </c>
      <c r="C324">
        <v>56.24516666666667</v>
      </c>
      <c r="D324" t="s">
        <v>134</v>
      </c>
    </row>
    <row r="325" spans="1:4" x14ac:dyDescent="0.25">
      <c r="A325">
        <v>8260</v>
      </c>
      <c r="B325" t="s">
        <v>124</v>
      </c>
      <c r="C325">
        <v>37.344144</v>
      </c>
      <c r="D325" t="s">
        <v>134</v>
      </c>
    </row>
    <row r="326" spans="1:4" x14ac:dyDescent="0.25">
      <c r="A326">
        <v>8259</v>
      </c>
      <c r="B326" t="s">
        <v>124</v>
      </c>
      <c r="C326">
        <v>33.003916449086162</v>
      </c>
      <c r="D326" t="s">
        <v>134</v>
      </c>
    </row>
    <row r="327" spans="1:4" x14ac:dyDescent="0.25">
      <c r="A327">
        <v>8258</v>
      </c>
      <c r="B327" t="s">
        <v>124</v>
      </c>
      <c r="C327">
        <v>26.275971153846154</v>
      </c>
      <c r="D327" t="s">
        <v>134</v>
      </c>
    </row>
    <row r="328" spans="1:4" x14ac:dyDescent="0.25">
      <c r="A328">
        <v>8257</v>
      </c>
      <c r="B328" t="s">
        <v>125</v>
      </c>
      <c r="C328">
        <v>70</v>
      </c>
      <c r="D328" t="s">
        <v>134</v>
      </c>
    </row>
    <row r="329" spans="1:4" x14ac:dyDescent="0.25">
      <c r="A329">
        <v>8254</v>
      </c>
      <c r="B329" t="s">
        <v>125</v>
      </c>
      <c r="C329">
        <v>0.5</v>
      </c>
      <c r="D329" t="s">
        <v>134</v>
      </c>
    </row>
    <row r="330" spans="1:4" x14ac:dyDescent="0.25">
      <c r="A330">
        <v>8253</v>
      </c>
      <c r="B330" t="s">
        <v>125</v>
      </c>
      <c r="C330">
        <v>0.6</v>
      </c>
      <c r="D330" t="s">
        <v>134</v>
      </c>
    </row>
    <row r="331" spans="1:4" x14ac:dyDescent="0.25">
      <c r="A331">
        <v>8252</v>
      </c>
      <c r="B331" t="s">
        <v>125</v>
      </c>
      <c r="C331">
        <v>0.8</v>
      </c>
      <c r="D331" t="s">
        <v>134</v>
      </c>
    </row>
    <row r="332" spans="1:4" x14ac:dyDescent="0.25">
      <c r="A332">
        <v>8251</v>
      </c>
      <c r="B332" t="s">
        <v>125</v>
      </c>
      <c r="C332">
        <v>12</v>
      </c>
      <c r="D332" t="s">
        <v>134</v>
      </c>
    </row>
    <row r="333" spans="1:4" x14ac:dyDescent="0.25">
      <c r="A333">
        <v>8250</v>
      </c>
      <c r="B333" t="s">
        <v>125</v>
      </c>
      <c r="C333">
        <v>15.253333333333332</v>
      </c>
      <c r="D333" t="s">
        <v>134</v>
      </c>
    </row>
    <row r="334" spans="1:4" x14ac:dyDescent="0.25">
      <c r="A334">
        <v>8249</v>
      </c>
      <c r="B334" t="s">
        <v>125</v>
      </c>
      <c r="C334">
        <v>37.29</v>
      </c>
      <c r="D334" t="s">
        <v>134</v>
      </c>
    </row>
    <row r="335" spans="1:4" x14ac:dyDescent="0.25">
      <c r="A335">
        <v>8248</v>
      </c>
      <c r="B335" t="s">
        <v>125</v>
      </c>
      <c r="C335">
        <v>30.51</v>
      </c>
      <c r="D335" t="s">
        <v>134</v>
      </c>
    </row>
    <row r="336" spans="1:4" x14ac:dyDescent="0.25">
      <c r="A336">
        <v>8245</v>
      </c>
      <c r="B336" t="s">
        <v>125</v>
      </c>
      <c r="C336">
        <v>9.8866666666666667</v>
      </c>
      <c r="D336" t="s">
        <v>134</v>
      </c>
    </row>
    <row r="337" spans="1:4" x14ac:dyDescent="0.25">
      <c r="A337">
        <v>8242</v>
      </c>
      <c r="B337" t="s">
        <v>28</v>
      </c>
      <c r="C337">
        <v>0.32479999999999998</v>
      </c>
      <c r="D337" t="s">
        <v>134</v>
      </c>
    </row>
    <row r="338" spans="1:4" x14ac:dyDescent="0.25">
      <c r="A338">
        <v>8239</v>
      </c>
      <c r="B338" t="s">
        <v>124</v>
      </c>
      <c r="C338">
        <v>9.5</v>
      </c>
      <c r="D338" t="s">
        <v>134</v>
      </c>
    </row>
    <row r="339" spans="1:4" x14ac:dyDescent="0.25">
      <c r="A339">
        <v>8238</v>
      </c>
      <c r="B339" t="s">
        <v>124</v>
      </c>
      <c r="C339">
        <v>30</v>
      </c>
      <c r="D339" t="s">
        <v>134</v>
      </c>
    </row>
    <row r="340" spans="1:4" x14ac:dyDescent="0.25">
      <c r="A340">
        <v>8225</v>
      </c>
      <c r="B340" t="s">
        <v>125</v>
      </c>
      <c r="C340">
        <v>8</v>
      </c>
      <c r="D340" t="s">
        <v>134</v>
      </c>
    </row>
    <row r="341" spans="1:4" x14ac:dyDescent="0.25">
      <c r="A341">
        <v>8222</v>
      </c>
      <c r="B341" t="s">
        <v>124</v>
      </c>
      <c r="C341">
        <v>19.068000000000001</v>
      </c>
      <c r="D341" t="s">
        <v>134</v>
      </c>
    </row>
    <row r="342" spans="1:4" x14ac:dyDescent="0.25">
      <c r="A342">
        <v>8221</v>
      </c>
      <c r="B342" t="s">
        <v>28</v>
      </c>
      <c r="C342">
        <v>0.12619999999999998</v>
      </c>
      <c r="D342" t="s">
        <v>134</v>
      </c>
    </row>
    <row r="343" spans="1:4" x14ac:dyDescent="0.25">
      <c r="A343">
        <v>8219</v>
      </c>
      <c r="B343" t="s">
        <v>125</v>
      </c>
      <c r="C343">
        <v>22.04</v>
      </c>
      <c r="D343" t="s">
        <v>134</v>
      </c>
    </row>
    <row r="344" spans="1:4" x14ac:dyDescent="0.25">
      <c r="A344">
        <v>8217</v>
      </c>
      <c r="B344" t="s">
        <v>125</v>
      </c>
      <c r="C344">
        <v>10.931999999999999</v>
      </c>
      <c r="D344" t="s">
        <v>134</v>
      </c>
    </row>
    <row r="345" spans="1:4" x14ac:dyDescent="0.25">
      <c r="A345">
        <v>8214</v>
      </c>
      <c r="B345" t="s">
        <v>28</v>
      </c>
      <c r="C345">
        <v>0.74009999999999998</v>
      </c>
      <c r="D345" t="s">
        <v>134</v>
      </c>
    </row>
    <row r="346" spans="1:4" x14ac:dyDescent="0.25">
      <c r="A346">
        <v>8213</v>
      </c>
      <c r="B346" t="s">
        <v>28</v>
      </c>
      <c r="C346">
        <v>0.64400000000000002</v>
      </c>
      <c r="D346" t="s">
        <v>134</v>
      </c>
    </row>
    <row r="347" spans="1:4" x14ac:dyDescent="0.25">
      <c r="A347">
        <v>8206</v>
      </c>
      <c r="B347" t="s">
        <v>28</v>
      </c>
      <c r="C347">
        <v>6.9010420000000003</v>
      </c>
      <c r="D347" t="s">
        <v>134</v>
      </c>
    </row>
    <row r="348" spans="1:4" x14ac:dyDescent="0.25">
      <c r="A348">
        <v>8206</v>
      </c>
      <c r="B348" t="s">
        <v>28</v>
      </c>
      <c r="C348">
        <v>3.45</v>
      </c>
      <c r="D348" t="s">
        <v>134</v>
      </c>
    </row>
    <row r="349" spans="1:4" x14ac:dyDescent="0.25">
      <c r="A349">
        <v>8195</v>
      </c>
      <c r="B349" t="s">
        <v>125</v>
      </c>
      <c r="C349">
        <v>0.25420000000000004</v>
      </c>
      <c r="D349" t="s">
        <v>134</v>
      </c>
    </row>
    <row r="350" spans="1:4" x14ac:dyDescent="0.25">
      <c r="A350">
        <v>8176</v>
      </c>
      <c r="B350" t="s">
        <v>124</v>
      </c>
      <c r="C350">
        <v>28.94832402234637</v>
      </c>
      <c r="D350" t="s">
        <v>134</v>
      </c>
    </row>
    <row r="351" spans="1:4" x14ac:dyDescent="0.25">
      <c r="A351">
        <v>8175</v>
      </c>
      <c r="B351" t="s">
        <v>124</v>
      </c>
      <c r="C351">
        <v>40.676666666666669</v>
      </c>
      <c r="D351" t="s">
        <v>134</v>
      </c>
    </row>
    <row r="352" spans="1:4" x14ac:dyDescent="0.25">
      <c r="A352">
        <v>8174</v>
      </c>
      <c r="B352" t="s">
        <v>125</v>
      </c>
      <c r="C352">
        <v>33.896666666666668</v>
      </c>
      <c r="D352" t="s">
        <v>134</v>
      </c>
    </row>
    <row r="353" spans="1:4" x14ac:dyDescent="0.25">
      <c r="A353">
        <v>8173</v>
      </c>
      <c r="B353" t="s">
        <v>125</v>
      </c>
      <c r="C353">
        <v>48.655000000000001</v>
      </c>
      <c r="D353" t="s">
        <v>134</v>
      </c>
    </row>
    <row r="354" spans="1:4" x14ac:dyDescent="0.25">
      <c r="A354">
        <v>8171</v>
      </c>
      <c r="B354" t="s">
        <v>125</v>
      </c>
      <c r="C354">
        <v>10.4</v>
      </c>
      <c r="D354" t="s">
        <v>134</v>
      </c>
    </row>
    <row r="355" spans="1:4" x14ac:dyDescent="0.25">
      <c r="A355">
        <v>8170</v>
      </c>
      <c r="B355" t="s">
        <v>125</v>
      </c>
      <c r="C355">
        <v>6.99</v>
      </c>
      <c r="D355" t="s">
        <v>134</v>
      </c>
    </row>
    <row r="356" spans="1:4" x14ac:dyDescent="0.25">
      <c r="A356">
        <v>8169</v>
      </c>
      <c r="B356" t="s">
        <v>125</v>
      </c>
      <c r="C356">
        <v>19.63</v>
      </c>
      <c r="D356" t="s">
        <v>134</v>
      </c>
    </row>
    <row r="357" spans="1:4" x14ac:dyDescent="0.25">
      <c r="A357">
        <v>8168</v>
      </c>
      <c r="B357" t="s">
        <v>125</v>
      </c>
      <c r="C357">
        <v>27.76</v>
      </c>
      <c r="D357" t="s">
        <v>134</v>
      </c>
    </row>
    <row r="358" spans="1:4" x14ac:dyDescent="0.25">
      <c r="A358">
        <v>8166</v>
      </c>
      <c r="B358" t="s">
        <v>125</v>
      </c>
      <c r="C358">
        <v>2.3530000000000002</v>
      </c>
      <c r="D358" t="s">
        <v>134</v>
      </c>
    </row>
    <row r="359" spans="1:4" x14ac:dyDescent="0.25">
      <c r="A359">
        <v>8160</v>
      </c>
      <c r="B359" t="s">
        <v>125</v>
      </c>
      <c r="C359">
        <v>1.6</v>
      </c>
      <c r="D359" t="s">
        <v>134</v>
      </c>
    </row>
    <row r="360" spans="1:4" x14ac:dyDescent="0.25">
      <c r="A360">
        <v>8159</v>
      </c>
      <c r="B360" t="s">
        <v>28</v>
      </c>
      <c r="C360">
        <v>0.35592000000000001</v>
      </c>
      <c r="D360" t="s">
        <v>134</v>
      </c>
    </row>
    <row r="361" spans="1:4" x14ac:dyDescent="0.25">
      <c r="A361">
        <v>8158</v>
      </c>
      <c r="B361" t="s">
        <v>28</v>
      </c>
      <c r="C361">
        <v>0.55079999999999996</v>
      </c>
      <c r="D361" t="s">
        <v>134</v>
      </c>
    </row>
    <row r="362" spans="1:4" x14ac:dyDescent="0.25">
      <c r="A362">
        <v>8156</v>
      </c>
      <c r="B362" t="s">
        <v>28</v>
      </c>
      <c r="C362">
        <v>17.16</v>
      </c>
      <c r="D362" t="s">
        <v>134</v>
      </c>
    </row>
    <row r="363" spans="1:4" x14ac:dyDescent="0.25">
      <c r="A363">
        <v>8155</v>
      </c>
      <c r="B363" t="s">
        <v>28</v>
      </c>
      <c r="C363">
        <v>4.7</v>
      </c>
      <c r="D363" t="s">
        <v>134</v>
      </c>
    </row>
    <row r="364" spans="1:4" x14ac:dyDescent="0.25">
      <c r="A364">
        <v>8154</v>
      </c>
      <c r="B364" t="s">
        <v>28</v>
      </c>
      <c r="C364">
        <v>0.8306</v>
      </c>
      <c r="D364" t="s">
        <v>134</v>
      </c>
    </row>
    <row r="365" spans="1:4" x14ac:dyDescent="0.25">
      <c r="A365">
        <v>8153</v>
      </c>
      <c r="B365" t="s">
        <v>28</v>
      </c>
      <c r="C365">
        <v>8.7299999999999989E-2</v>
      </c>
      <c r="D365" t="s">
        <v>134</v>
      </c>
    </row>
    <row r="366" spans="1:4" x14ac:dyDescent="0.25">
      <c r="A366">
        <v>8151</v>
      </c>
      <c r="B366" t="s">
        <v>28</v>
      </c>
      <c r="C366">
        <v>1</v>
      </c>
      <c r="D366" t="s">
        <v>134</v>
      </c>
    </row>
    <row r="367" spans="1:4" x14ac:dyDescent="0.25">
      <c r="A367">
        <v>8150</v>
      </c>
      <c r="B367" t="s">
        <v>28</v>
      </c>
      <c r="C367">
        <v>0.19399999999999998</v>
      </c>
      <c r="D367" t="s">
        <v>134</v>
      </c>
    </row>
    <row r="368" spans="1:4" x14ac:dyDescent="0.25">
      <c r="A368">
        <v>8149</v>
      </c>
      <c r="B368" t="s">
        <v>28</v>
      </c>
      <c r="C368">
        <v>0.52539999999999998</v>
      </c>
      <c r="D368" t="s">
        <v>134</v>
      </c>
    </row>
    <row r="369" spans="1:4" x14ac:dyDescent="0.25">
      <c r="A369">
        <v>8148</v>
      </c>
      <c r="B369" t="s">
        <v>28</v>
      </c>
      <c r="C369">
        <v>0.17830000000000001</v>
      </c>
      <c r="D369" t="s">
        <v>134</v>
      </c>
    </row>
    <row r="370" spans="1:4" x14ac:dyDescent="0.25">
      <c r="A370">
        <v>8147</v>
      </c>
      <c r="B370" t="s">
        <v>28</v>
      </c>
      <c r="C370">
        <v>0.24569999999999997</v>
      </c>
      <c r="D370" t="s">
        <v>134</v>
      </c>
    </row>
    <row r="371" spans="1:4" x14ac:dyDescent="0.25">
      <c r="A371">
        <v>8137</v>
      </c>
      <c r="B371" t="s">
        <v>124</v>
      </c>
      <c r="C371">
        <v>24.919999999999998</v>
      </c>
      <c r="D371" t="s">
        <v>134</v>
      </c>
    </row>
    <row r="372" spans="1:4" x14ac:dyDescent="0.25">
      <c r="A372">
        <v>8136</v>
      </c>
      <c r="B372" t="s">
        <v>28</v>
      </c>
      <c r="C372">
        <v>27.12</v>
      </c>
      <c r="D372" t="s">
        <v>134</v>
      </c>
    </row>
    <row r="373" spans="1:4" x14ac:dyDescent="0.25">
      <c r="A373">
        <v>8135</v>
      </c>
      <c r="B373" t="s">
        <v>28</v>
      </c>
      <c r="C373">
        <v>16.100000000000001</v>
      </c>
      <c r="D373" t="s">
        <v>134</v>
      </c>
    </row>
    <row r="374" spans="1:4" x14ac:dyDescent="0.25">
      <c r="A374">
        <v>8134</v>
      </c>
      <c r="B374" t="s">
        <v>124</v>
      </c>
      <c r="C374">
        <v>6</v>
      </c>
      <c r="D374" t="s">
        <v>134</v>
      </c>
    </row>
    <row r="375" spans="1:4" x14ac:dyDescent="0.25">
      <c r="A375">
        <v>8133</v>
      </c>
      <c r="B375" t="s">
        <v>124</v>
      </c>
      <c r="C375">
        <v>8.4749999999999996</v>
      </c>
      <c r="D375" t="s">
        <v>134</v>
      </c>
    </row>
    <row r="376" spans="1:4" x14ac:dyDescent="0.25">
      <c r="A376">
        <v>8132</v>
      </c>
      <c r="B376" t="s">
        <v>124</v>
      </c>
      <c r="C376">
        <v>16.5</v>
      </c>
      <c r="D376" t="s">
        <v>134</v>
      </c>
    </row>
    <row r="377" spans="1:4" x14ac:dyDescent="0.25">
      <c r="A377">
        <v>8131</v>
      </c>
      <c r="B377" t="s">
        <v>124</v>
      </c>
      <c r="C377">
        <v>13.984999999999999</v>
      </c>
      <c r="D377" t="s">
        <v>134</v>
      </c>
    </row>
    <row r="378" spans="1:4" x14ac:dyDescent="0.25">
      <c r="A378">
        <v>8130</v>
      </c>
      <c r="B378" t="s">
        <v>28</v>
      </c>
      <c r="C378">
        <v>0.85</v>
      </c>
      <c r="D378" t="s">
        <v>134</v>
      </c>
    </row>
    <row r="379" spans="1:4" x14ac:dyDescent="0.25">
      <c r="A379">
        <v>8129</v>
      </c>
      <c r="B379" t="s">
        <v>125</v>
      </c>
      <c r="C379">
        <v>8.4000000000000012E-3</v>
      </c>
      <c r="D379" t="s">
        <v>134</v>
      </c>
    </row>
    <row r="380" spans="1:4" x14ac:dyDescent="0.25">
      <c r="A380">
        <v>8128</v>
      </c>
      <c r="B380" t="s">
        <v>124</v>
      </c>
      <c r="C380">
        <v>23.38</v>
      </c>
      <c r="D380" t="s">
        <v>134</v>
      </c>
    </row>
    <row r="381" spans="1:4" x14ac:dyDescent="0.25">
      <c r="A381">
        <v>8127</v>
      </c>
      <c r="B381" t="s">
        <v>125</v>
      </c>
      <c r="C381">
        <v>132.38</v>
      </c>
      <c r="D381" t="s">
        <v>134</v>
      </c>
    </row>
    <row r="382" spans="1:4" x14ac:dyDescent="0.25">
      <c r="A382">
        <v>8126</v>
      </c>
      <c r="B382" t="s">
        <v>124</v>
      </c>
      <c r="C382">
        <v>25</v>
      </c>
      <c r="D382" t="s">
        <v>134</v>
      </c>
    </row>
    <row r="383" spans="1:4" x14ac:dyDescent="0.25">
      <c r="A383">
        <v>8125</v>
      </c>
      <c r="B383" t="s">
        <v>124</v>
      </c>
      <c r="C383">
        <v>32.202500000000001</v>
      </c>
      <c r="D383" t="s">
        <v>134</v>
      </c>
    </row>
    <row r="384" spans="1:4" x14ac:dyDescent="0.25">
      <c r="A384">
        <v>8124</v>
      </c>
      <c r="B384" t="s">
        <v>124</v>
      </c>
      <c r="C384">
        <v>38.9</v>
      </c>
      <c r="D384" t="s">
        <v>134</v>
      </c>
    </row>
    <row r="385" spans="1:4" x14ac:dyDescent="0.25">
      <c r="A385">
        <v>8123</v>
      </c>
      <c r="B385" t="s">
        <v>125</v>
      </c>
      <c r="C385">
        <v>62.1</v>
      </c>
      <c r="D385" t="s">
        <v>134</v>
      </c>
    </row>
    <row r="386" spans="1:4" x14ac:dyDescent="0.25">
      <c r="A386">
        <v>8122</v>
      </c>
      <c r="B386" t="s">
        <v>124</v>
      </c>
      <c r="C386">
        <v>8.0510000000000002</v>
      </c>
      <c r="D386" t="s">
        <v>134</v>
      </c>
    </row>
    <row r="387" spans="1:4" x14ac:dyDescent="0.25">
      <c r="A387">
        <v>8121</v>
      </c>
      <c r="B387" t="s">
        <v>124</v>
      </c>
      <c r="C387">
        <v>25.423333333333332</v>
      </c>
      <c r="D387" t="s">
        <v>134</v>
      </c>
    </row>
    <row r="388" spans="1:4" x14ac:dyDescent="0.25">
      <c r="A388">
        <v>8120</v>
      </c>
      <c r="B388" t="s">
        <v>124</v>
      </c>
      <c r="C388">
        <v>14.2</v>
      </c>
      <c r="D388" t="s">
        <v>134</v>
      </c>
    </row>
    <row r="389" spans="1:4" x14ac:dyDescent="0.25">
      <c r="A389">
        <v>8119</v>
      </c>
      <c r="B389" t="s">
        <v>124</v>
      </c>
      <c r="C389">
        <v>27.120999999999999</v>
      </c>
      <c r="D389" t="s">
        <v>134</v>
      </c>
    </row>
    <row r="390" spans="1:4" x14ac:dyDescent="0.25">
      <c r="A390">
        <v>8118</v>
      </c>
      <c r="B390" t="s">
        <v>124</v>
      </c>
      <c r="C390">
        <v>7.087407407407408</v>
      </c>
      <c r="D390" t="s">
        <v>134</v>
      </c>
    </row>
    <row r="391" spans="1:4" x14ac:dyDescent="0.25">
      <c r="A391">
        <v>8117</v>
      </c>
      <c r="B391" t="s">
        <v>124</v>
      </c>
      <c r="C391">
        <v>13.569999999999999</v>
      </c>
      <c r="D391" t="s">
        <v>134</v>
      </c>
    </row>
    <row r="392" spans="1:4" x14ac:dyDescent="0.25">
      <c r="A392">
        <v>8116</v>
      </c>
      <c r="B392" t="s">
        <v>124</v>
      </c>
      <c r="C392">
        <v>25.423333333333332</v>
      </c>
      <c r="D392" t="s">
        <v>134</v>
      </c>
    </row>
    <row r="393" spans="1:4" x14ac:dyDescent="0.25">
      <c r="A393">
        <v>8115</v>
      </c>
      <c r="B393" t="s">
        <v>124</v>
      </c>
      <c r="C393">
        <v>3.2204000000000002</v>
      </c>
      <c r="D393" t="s">
        <v>134</v>
      </c>
    </row>
    <row r="394" spans="1:4" x14ac:dyDescent="0.25">
      <c r="A394">
        <v>8114</v>
      </c>
      <c r="B394" t="s">
        <v>124</v>
      </c>
      <c r="C394">
        <v>10.17</v>
      </c>
      <c r="D394" t="s">
        <v>134</v>
      </c>
    </row>
    <row r="395" spans="1:4" x14ac:dyDescent="0.25">
      <c r="A395">
        <v>8112</v>
      </c>
      <c r="B395" t="s">
        <v>124</v>
      </c>
      <c r="C395">
        <v>122.03</v>
      </c>
      <c r="D395" t="s">
        <v>134</v>
      </c>
    </row>
    <row r="396" spans="1:4" x14ac:dyDescent="0.25">
      <c r="A396">
        <v>8101</v>
      </c>
      <c r="B396" t="s">
        <v>124</v>
      </c>
      <c r="C396">
        <v>45</v>
      </c>
      <c r="D396" t="s">
        <v>134</v>
      </c>
    </row>
    <row r="397" spans="1:4" x14ac:dyDescent="0.25">
      <c r="A397">
        <v>8100</v>
      </c>
      <c r="B397" t="s">
        <v>124</v>
      </c>
      <c r="C397">
        <v>4.5333333333333332</v>
      </c>
      <c r="D397" t="s">
        <v>134</v>
      </c>
    </row>
    <row r="398" spans="1:4" x14ac:dyDescent="0.25">
      <c r="A398">
        <v>80</v>
      </c>
      <c r="B398" t="s">
        <v>124</v>
      </c>
      <c r="C398">
        <v>32</v>
      </c>
      <c r="D398" t="s">
        <v>134</v>
      </c>
    </row>
    <row r="399" spans="1:4" x14ac:dyDescent="0.25">
      <c r="A399">
        <v>8099</v>
      </c>
      <c r="B399" t="s">
        <v>124</v>
      </c>
      <c r="C399">
        <v>59.32</v>
      </c>
      <c r="D399" t="s">
        <v>134</v>
      </c>
    </row>
    <row r="400" spans="1:4" x14ac:dyDescent="0.25">
      <c r="A400">
        <v>8098</v>
      </c>
      <c r="B400" t="s">
        <v>124</v>
      </c>
      <c r="C400">
        <v>0.13</v>
      </c>
      <c r="D400" t="s">
        <v>134</v>
      </c>
    </row>
    <row r="401" spans="1:4" x14ac:dyDescent="0.25">
      <c r="A401">
        <v>8096</v>
      </c>
      <c r="B401" t="s">
        <v>124</v>
      </c>
      <c r="C401">
        <v>16.099999999999998</v>
      </c>
      <c r="D401" t="s">
        <v>134</v>
      </c>
    </row>
    <row r="402" spans="1:4" x14ac:dyDescent="0.25">
      <c r="A402">
        <v>8095</v>
      </c>
      <c r="B402" t="s">
        <v>124</v>
      </c>
      <c r="C402">
        <v>40.25</v>
      </c>
      <c r="D402" t="s">
        <v>134</v>
      </c>
    </row>
    <row r="403" spans="1:4" x14ac:dyDescent="0.25">
      <c r="A403">
        <v>8093</v>
      </c>
      <c r="B403" t="s">
        <v>28</v>
      </c>
      <c r="C403">
        <v>1.18</v>
      </c>
      <c r="D403" t="s">
        <v>134</v>
      </c>
    </row>
    <row r="404" spans="1:4" x14ac:dyDescent="0.25">
      <c r="A404">
        <v>8092</v>
      </c>
      <c r="B404" t="s">
        <v>124</v>
      </c>
      <c r="C404">
        <v>3</v>
      </c>
      <c r="D404" t="s">
        <v>134</v>
      </c>
    </row>
    <row r="405" spans="1:4" x14ac:dyDescent="0.25">
      <c r="A405">
        <v>8091</v>
      </c>
      <c r="B405" t="s">
        <v>124</v>
      </c>
      <c r="C405">
        <v>7.2030000000000003</v>
      </c>
      <c r="D405" t="s">
        <v>134</v>
      </c>
    </row>
    <row r="406" spans="1:4" x14ac:dyDescent="0.25">
      <c r="A406">
        <v>8090</v>
      </c>
      <c r="B406" t="s">
        <v>124</v>
      </c>
      <c r="C406">
        <v>50.85</v>
      </c>
      <c r="D406" t="s">
        <v>134</v>
      </c>
    </row>
    <row r="407" spans="1:4" x14ac:dyDescent="0.25">
      <c r="A407">
        <v>8089</v>
      </c>
      <c r="B407" t="s">
        <v>124</v>
      </c>
      <c r="C407">
        <v>32.204999999999998</v>
      </c>
      <c r="D407" t="s">
        <v>134</v>
      </c>
    </row>
    <row r="408" spans="1:4" x14ac:dyDescent="0.25">
      <c r="A408">
        <v>8088</v>
      </c>
      <c r="B408" t="s">
        <v>124</v>
      </c>
      <c r="C408">
        <v>11.86</v>
      </c>
      <c r="D408" t="s">
        <v>134</v>
      </c>
    </row>
    <row r="409" spans="1:4" x14ac:dyDescent="0.25">
      <c r="A409">
        <v>8087</v>
      </c>
      <c r="B409" t="s">
        <v>124</v>
      </c>
      <c r="C409">
        <v>15</v>
      </c>
      <c r="D409" t="s">
        <v>134</v>
      </c>
    </row>
    <row r="410" spans="1:4" x14ac:dyDescent="0.25">
      <c r="A410">
        <v>8086</v>
      </c>
      <c r="B410" t="s">
        <v>124</v>
      </c>
      <c r="C410">
        <v>208.87323943661974</v>
      </c>
      <c r="D410" t="s">
        <v>134</v>
      </c>
    </row>
    <row r="411" spans="1:4" x14ac:dyDescent="0.25">
      <c r="A411">
        <v>8084</v>
      </c>
      <c r="B411" t="s">
        <v>124</v>
      </c>
      <c r="C411">
        <v>12</v>
      </c>
      <c r="D411" t="s">
        <v>134</v>
      </c>
    </row>
    <row r="412" spans="1:4" x14ac:dyDescent="0.25">
      <c r="A412">
        <v>8083</v>
      </c>
      <c r="B412" t="s">
        <v>124</v>
      </c>
      <c r="C412">
        <v>10.5</v>
      </c>
      <c r="D412" t="s">
        <v>134</v>
      </c>
    </row>
    <row r="413" spans="1:4" x14ac:dyDescent="0.25">
      <c r="A413">
        <v>8082</v>
      </c>
      <c r="B413" t="s">
        <v>124</v>
      </c>
      <c r="C413">
        <v>9.32</v>
      </c>
      <c r="D413" t="s">
        <v>134</v>
      </c>
    </row>
    <row r="414" spans="1:4" x14ac:dyDescent="0.25">
      <c r="A414">
        <v>8081</v>
      </c>
      <c r="B414" t="s">
        <v>124</v>
      </c>
      <c r="C414">
        <v>22.52</v>
      </c>
      <c r="D414" t="s">
        <v>134</v>
      </c>
    </row>
    <row r="415" spans="1:4" x14ac:dyDescent="0.25">
      <c r="A415">
        <v>8080</v>
      </c>
      <c r="B415" t="s">
        <v>124</v>
      </c>
      <c r="C415">
        <v>177.965</v>
      </c>
      <c r="D415" t="s">
        <v>134</v>
      </c>
    </row>
    <row r="416" spans="1:4" x14ac:dyDescent="0.25">
      <c r="A416">
        <v>8079</v>
      </c>
      <c r="B416" t="s">
        <v>124</v>
      </c>
      <c r="C416">
        <v>3.9230769230769229</v>
      </c>
      <c r="D416" t="s">
        <v>134</v>
      </c>
    </row>
    <row r="417" spans="1:4" x14ac:dyDescent="0.25">
      <c r="A417">
        <v>8078</v>
      </c>
      <c r="B417" t="s">
        <v>124</v>
      </c>
      <c r="C417">
        <v>6</v>
      </c>
      <c r="D417" t="s">
        <v>134</v>
      </c>
    </row>
    <row r="418" spans="1:4" x14ac:dyDescent="0.25">
      <c r="A418">
        <v>8077</v>
      </c>
      <c r="B418" t="s">
        <v>124</v>
      </c>
      <c r="C418">
        <v>4.07</v>
      </c>
      <c r="D418" t="s">
        <v>134</v>
      </c>
    </row>
    <row r="419" spans="1:4" x14ac:dyDescent="0.25">
      <c r="A419">
        <v>8076</v>
      </c>
      <c r="B419" t="s">
        <v>124</v>
      </c>
      <c r="C419">
        <v>4.05</v>
      </c>
      <c r="D419" t="s">
        <v>134</v>
      </c>
    </row>
    <row r="420" spans="1:4" x14ac:dyDescent="0.25">
      <c r="A420">
        <v>8075</v>
      </c>
      <c r="B420" t="s">
        <v>124</v>
      </c>
      <c r="C420">
        <v>12.288125000000001</v>
      </c>
      <c r="D420" t="s">
        <v>134</v>
      </c>
    </row>
    <row r="421" spans="1:4" x14ac:dyDescent="0.25">
      <c r="A421">
        <v>8074</v>
      </c>
      <c r="B421" t="s">
        <v>124</v>
      </c>
      <c r="C421">
        <v>109.66960352422907</v>
      </c>
      <c r="D421" t="s">
        <v>134</v>
      </c>
    </row>
    <row r="422" spans="1:4" x14ac:dyDescent="0.25">
      <c r="A422">
        <v>8073</v>
      </c>
      <c r="B422" t="s">
        <v>124</v>
      </c>
      <c r="C422">
        <v>45.150999999999996</v>
      </c>
      <c r="D422" t="s">
        <v>134</v>
      </c>
    </row>
    <row r="423" spans="1:4" x14ac:dyDescent="0.25">
      <c r="A423">
        <v>8071</v>
      </c>
      <c r="B423" t="s">
        <v>124</v>
      </c>
      <c r="C423">
        <v>42.37</v>
      </c>
      <c r="D423" t="s">
        <v>134</v>
      </c>
    </row>
    <row r="424" spans="1:4" x14ac:dyDescent="0.25">
      <c r="A424">
        <v>8070</v>
      </c>
      <c r="B424" t="s">
        <v>124</v>
      </c>
      <c r="C424">
        <v>30.720652173913045</v>
      </c>
      <c r="D424" t="s">
        <v>134</v>
      </c>
    </row>
    <row r="425" spans="1:4" x14ac:dyDescent="0.25">
      <c r="A425">
        <v>8068</v>
      </c>
      <c r="B425" t="s">
        <v>124</v>
      </c>
      <c r="C425">
        <v>6.78</v>
      </c>
      <c r="D425" t="s">
        <v>134</v>
      </c>
    </row>
    <row r="426" spans="1:4" x14ac:dyDescent="0.25">
      <c r="A426">
        <v>8067</v>
      </c>
      <c r="B426" t="s">
        <v>124</v>
      </c>
      <c r="C426">
        <v>3.2204999999999999</v>
      </c>
      <c r="D426" t="s">
        <v>134</v>
      </c>
    </row>
    <row r="427" spans="1:4" x14ac:dyDescent="0.25">
      <c r="A427">
        <v>8067</v>
      </c>
      <c r="B427" t="s">
        <v>124</v>
      </c>
      <c r="C427">
        <v>7.4454285714285708</v>
      </c>
      <c r="D427" t="s">
        <v>134</v>
      </c>
    </row>
    <row r="428" spans="1:4" x14ac:dyDescent="0.25">
      <c r="A428">
        <v>8066</v>
      </c>
      <c r="B428" t="s">
        <v>124</v>
      </c>
      <c r="C428">
        <v>3.5593333333333335</v>
      </c>
      <c r="D428" t="s">
        <v>134</v>
      </c>
    </row>
    <row r="429" spans="1:4" x14ac:dyDescent="0.25">
      <c r="A429">
        <v>8063</v>
      </c>
      <c r="B429" t="s">
        <v>124</v>
      </c>
      <c r="C429">
        <v>22.173816425120769</v>
      </c>
      <c r="D429" t="s">
        <v>134</v>
      </c>
    </row>
    <row r="430" spans="1:4" x14ac:dyDescent="0.25">
      <c r="A430">
        <v>8061</v>
      </c>
      <c r="B430" t="s">
        <v>124</v>
      </c>
      <c r="C430">
        <v>32.643014492753622</v>
      </c>
      <c r="D430" t="s">
        <v>134</v>
      </c>
    </row>
    <row r="431" spans="1:4" x14ac:dyDescent="0.25">
      <c r="A431">
        <v>8060</v>
      </c>
      <c r="B431" t="s">
        <v>124</v>
      </c>
      <c r="C431">
        <v>2.0033895833333335</v>
      </c>
      <c r="D431" t="s">
        <v>134</v>
      </c>
    </row>
    <row r="432" spans="1:4" x14ac:dyDescent="0.25">
      <c r="A432">
        <v>8060</v>
      </c>
      <c r="B432" t="s">
        <v>124</v>
      </c>
      <c r="C432">
        <v>30.543605072463766</v>
      </c>
      <c r="D432" t="s">
        <v>134</v>
      </c>
    </row>
    <row r="433" spans="1:4" x14ac:dyDescent="0.25">
      <c r="A433">
        <v>8058</v>
      </c>
      <c r="B433" t="s">
        <v>124</v>
      </c>
      <c r="C433">
        <v>110.17</v>
      </c>
      <c r="D433" t="s">
        <v>134</v>
      </c>
    </row>
    <row r="434" spans="1:4" x14ac:dyDescent="0.25">
      <c r="A434">
        <v>8057</v>
      </c>
      <c r="B434" t="s">
        <v>28</v>
      </c>
      <c r="C434">
        <v>9.322000000000001</v>
      </c>
      <c r="D434" t="s">
        <v>134</v>
      </c>
    </row>
    <row r="435" spans="1:4" x14ac:dyDescent="0.25">
      <c r="A435">
        <v>8056</v>
      </c>
      <c r="B435" t="s">
        <v>28</v>
      </c>
      <c r="C435">
        <v>3.3899999999999997</v>
      </c>
      <c r="D435" t="s">
        <v>134</v>
      </c>
    </row>
    <row r="436" spans="1:4" x14ac:dyDescent="0.25">
      <c r="A436">
        <v>8055</v>
      </c>
      <c r="B436" t="s">
        <v>124</v>
      </c>
      <c r="C436">
        <v>25.975000000000001</v>
      </c>
      <c r="D436" t="s">
        <v>134</v>
      </c>
    </row>
    <row r="437" spans="1:4" x14ac:dyDescent="0.25">
      <c r="A437">
        <v>8052</v>
      </c>
      <c r="B437" t="s">
        <v>126</v>
      </c>
      <c r="C437">
        <v>2.5428571428571431</v>
      </c>
      <c r="D437" t="s">
        <v>134</v>
      </c>
    </row>
    <row r="438" spans="1:4" x14ac:dyDescent="0.25">
      <c r="A438">
        <v>8034</v>
      </c>
      <c r="B438" t="s">
        <v>124</v>
      </c>
      <c r="C438">
        <v>44.077777777777776</v>
      </c>
      <c r="D438" t="s">
        <v>134</v>
      </c>
    </row>
    <row r="439" spans="1:4" x14ac:dyDescent="0.25">
      <c r="A439">
        <v>7</v>
      </c>
      <c r="B439" t="s">
        <v>124</v>
      </c>
      <c r="C439">
        <v>1.2999999999999999E-2</v>
      </c>
      <c r="D439" t="s">
        <v>134</v>
      </c>
    </row>
    <row r="440" spans="1:4" x14ac:dyDescent="0.25">
      <c r="A440">
        <v>7</v>
      </c>
      <c r="B440" t="s">
        <v>124</v>
      </c>
      <c r="C440">
        <v>49.34</v>
      </c>
      <c r="D440" t="s">
        <v>134</v>
      </c>
    </row>
    <row r="441" spans="1:4" x14ac:dyDescent="0.25">
      <c r="A441">
        <v>79</v>
      </c>
      <c r="B441" t="s">
        <v>124</v>
      </c>
      <c r="C441">
        <v>16.100000000000001</v>
      </c>
      <c r="D441" t="s">
        <v>134</v>
      </c>
    </row>
    <row r="442" spans="1:4" x14ac:dyDescent="0.25">
      <c r="A442">
        <v>78</v>
      </c>
      <c r="B442" t="s">
        <v>124</v>
      </c>
      <c r="C442">
        <v>22.033333333333331</v>
      </c>
      <c r="D442" t="s">
        <v>134</v>
      </c>
    </row>
    <row r="443" spans="1:4" x14ac:dyDescent="0.25">
      <c r="A443">
        <v>7879</v>
      </c>
      <c r="B443" t="s">
        <v>26</v>
      </c>
      <c r="C443">
        <v>38.983333333333334</v>
      </c>
      <c r="D443" t="s">
        <v>134</v>
      </c>
    </row>
    <row r="444" spans="1:4" x14ac:dyDescent="0.25">
      <c r="A444">
        <v>7843</v>
      </c>
      <c r="B444" t="s">
        <v>126</v>
      </c>
      <c r="C444">
        <v>3.7291666666666665</v>
      </c>
      <c r="D444" t="s">
        <v>134</v>
      </c>
    </row>
    <row r="445" spans="1:4" x14ac:dyDescent="0.25">
      <c r="A445">
        <v>77</v>
      </c>
      <c r="B445" t="s">
        <v>124</v>
      </c>
      <c r="C445">
        <v>12.288076923076924</v>
      </c>
      <c r="D445" t="s">
        <v>134</v>
      </c>
    </row>
    <row r="446" spans="1:4" x14ac:dyDescent="0.25">
      <c r="A446">
        <v>7729</v>
      </c>
      <c r="B446" t="s">
        <v>124</v>
      </c>
      <c r="C446">
        <v>16.95</v>
      </c>
      <c r="D446" t="s">
        <v>134</v>
      </c>
    </row>
    <row r="447" spans="1:4" x14ac:dyDescent="0.25">
      <c r="A447">
        <v>7728</v>
      </c>
      <c r="B447" t="s">
        <v>124</v>
      </c>
      <c r="C447">
        <v>45.30833333333333</v>
      </c>
      <c r="D447" t="s">
        <v>134</v>
      </c>
    </row>
    <row r="448" spans="1:4" x14ac:dyDescent="0.25">
      <c r="A448">
        <v>76</v>
      </c>
      <c r="B448" t="s">
        <v>124</v>
      </c>
      <c r="C448">
        <v>50.84</v>
      </c>
      <c r="D448" t="s">
        <v>134</v>
      </c>
    </row>
    <row r="449" spans="1:4" x14ac:dyDescent="0.25">
      <c r="A449">
        <v>7692</v>
      </c>
      <c r="B449" t="s">
        <v>125</v>
      </c>
      <c r="C449">
        <v>23.73</v>
      </c>
      <c r="D449" t="s">
        <v>134</v>
      </c>
    </row>
    <row r="450" spans="1:4" x14ac:dyDescent="0.25">
      <c r="A450">
        <v>7687</v>
      </c>
      <c r="B450" t="s">
        <v>126</v>
      </c>
      <c r="C450">
        <v>11.821875</v>
      </c>
      <c r="D450" t="s">
        <v>134</v>
      </c>
    </row>
    <row r="451" spans="1:4" x14ac:dyDescent="0.25">
      <c r="A451">
        <v>7643</v>
      </c>
      <c r="B451" t="s">
        <v>124</v>
      </c>
      <c r="C451">
        <v>29.666666666666668</v>
      </c>
      <c r="D451" t="s">
        <v>134</v>
      </c>
    </row>
    <row r="452" spans="1:4" x14ac:dyDescent="0.25">
      <c r="A452">
        <v>763</v>
      </c>
      <c r="B452" t="s">
        <v>126</v>
      </c>
      <c r="C452">
        <v>38.96</v>
      </c>
      <c r="D452" t="s">
        <v>134</v>
      </c>
    </row>
    <row r="453" spans="1:4" x14ac:dyDescent="0.25">
      <c r="A453">
        <v>7632</v>
      </c>
      <c r="B453" t="s">
        <v>124</v>
      </c>
      <c r="C453">
        <v>20.34</v>
      </c>
      <c r="D453" t="s">
        <v>134</v>
      </c>
    </row>
    <row r="454" spans="1:4" x14ac:dyDescent="0.25">
      <c r="A454">
        <v>7624</v>
      </c>
      <c r="B454" t="s">
        <v>124</v>
      </c>
      <c r="C454">
        <v>4.6615000000000002</v>
      </c>
      <c r="D454" t="s">
        <v>134</v>
      </c>
    </row>
    <row r="455" spans="1:4" x14ac:dyDescent="0.25">
      <c r="A455">
        <v>761</v>
      </c>
      <c r="B455" t="s">
        <v>126</v>
      </c>
      <c r="C455">
        <v>61.26</v>
      </c>
      <c r="D455" t="s">
        <v>134</v>
      </c>
    </row>
    <row r="456" spans="1:4" x14ac:dyDescent="0.25">
      <c r="A456">
        <v>75</v>
      </c>
      <c r="B456" t="s">
        <v>124</v>
      </c>
      <c r="C456">
        <v>67.8</v>
      </c>
      <c r="D456" t="s">
        <v>134</v>
      </c>
    </row>
    <row r="457" spans="1:4" x14ac:dyDescent="0.25">
      <c r="A457">
        <v>7578</v>
      </c>
      <c r="B457" t="s">
        <v>126</v>
      </c>
      <c r="C457">
        <v>50</v>
      </c>
      <c r="D457" t="s">
        <v>134</v>
      </c>
    </row>
    <row r="458" spans="1:4" x14ac:dyDescent="0.25">
      <c r="A458">
        <v>7573</v>
      </c>
      <c r="B458" t="s">
        <v>124</v>
      </c>
      <c r="C458">
        <v>22.456666666666667</v>
      </c>
      <c r="D458" t="s">
        <v>134</v>
      </c>
    </row>
    <row r="459" spans="1:4" x14ac:dyDescent="0.25">
      <c r="A459">
        <v>7520</v>
      </c>
      <c r="B459" t="s">
        <v>124</v>
      </c>
      <c r="C459">
        <v>10</v>
      </c>
      <c r="D459" t="s">
        <v>134</v>
      </c>
    </row>
    <row r="460" spans="1:4" x14ac:dyDescent="0.25">
      <c r="A460">
        <v>750</v>
      </c>
      <c r="B460" t="s">
        <v>126</v>
      </c>
      <c r="C460">
        <v>76.38</v>
      </c>
      <c r="D460" t="s">
        <v>134</v>
      </c>
    </row>
    <row r="461" spans="1:4" x14ac:dyDescent="0.25">
      <c r="A461">
        <v>7482</v>
      </c>
      <c r="B461" t="s">
        <v>125</v>
      </c>
      <c r="C461">
        <v>9.5749999999999993</v>
      </c>
      <c r="D461" t="s">
        <v>134</v>
      </c>
    </row>
    <row r="462" spans="1:4" x14ac:dyDescent="0.25">
      <c r="A462">
        <v>7361</v>
      </c>
      <c r="B462" t="s">
        <v>26</v>
      </c>
      <c r="C462">
        <v>38.983333333333334</v>
      </c>
      <c r="D462" t="s">
        <v>134</v>
      </c>
    </row>
    <row r="463" spans="1:4" x14ac:dyDescent="0.25">
      <c r="A463">
        <v>735</v>
      </c>
      <c r="B463" t="s">
        <v>126</v>
      </c>
      <c r="C463">
        <v>51.25</v>
      </c>
      <c r="D463" t="s">
        <v>134</v>
      </c>
    </row>
    <row r="464" spans="1:4" x14ac:dyDescent="0.25">
      <c r="A464">
        <v>730</v>
      </c>
      <c r="B464" t="s">
        <v>126</v>
      </c>
      <c r="C464">
        <v>71.930000000000007</v>
      </c>
      <c r="D464" t="s">
        <v>134</v>
      </c>
    </row>
    <row r="465" spans="1:4" x14ac:dyDescent="0.25">
      <c r="A465">
        <v>7254</v>
      </c>
      <c r="B465" t="s">
        <v>126</v>
      </c>
      <c r="C465">
        <v>29.66</v>
      </c>
      <c r="D465" t="s">
        <v>134</v>
      </c>
    </row>
    <row r="466" spans="1:4" x14ac:dyDescent="0.25">
      <c r="A466">
        <v>7233</v>
      </c>
      <c r="B466" t="s">
        <v>125</v>
      </c>
      <c r="C466">
        <v>12.71</v>
      </c>
      <c r="D466" t="s">
        <v>134</v>
      </c>
    </row>
    <row r="467" spans="1:4" x14ac:dyDescent="0.25">
      <c r="A467">
        <v>7212</v>
      </c>
      <c r="B467" t="s">
        <v>125</v>
      </c>
      <c r="C467">
        <v>14.404999999999999</v>
      </c>
      <c r="D467" t="s">
        <v>134</v>
      </c>
    </row>
    <row r="468" spans="1:4" x14ac:dyDescent="0.25">
      <c r="A468">
        <v>720</v>
      </c>
      <c r="B468" t="s">
        <v>126</v>
      </c>
      <c r="C468">
        <v>39.83</v>
      </c>
      <c r="D468" t="s">
        <v>134</v>
      </c>
    </row>
    <row r="469" spans="1:4" x14ac:dyDescent="0.25">
      <c r="A469">
        <v>717</v>
      </c>
      <c r="B469" t="s">
        <v>126</v>
      </c>
      <c r="C469">
        <v>5.2965</v>
      </c>
      <c r="D469" t="s">
        <v>134</v>
      </c>
    </row>
    <row r="470" spans="1:4" x14ac:dyDescent="0.25">
      <c r="A470">
        <v>7135</v>
      </c>
      <c r="B470" t="s">
        <v>124</v>
      </c>
      <c r="C470">
        <v>32.630000000000003</v>
      </c>
      <c r="D470" t="s">
        <v>134</v>
      </c>
    </row>
    <row r="471" spans="1:4" x14ac:dyDescent="0.25">
      <c r="A471">
        <v>7129</v>
      </c>
      <c r="B471" t="s">
        <v>125</v>
      </c>
      <c r="C471">
        <v>55.085000000000001</v>
      </c>
      <c r="D471" t="s">
        <v>134</v>
      </c>
    </row>
    <row r="472" spans="1:4" x14ac:dyDescent="0.25">
      <c r="A472">
        <v>7111</v>
      </c>
      <c r="B472" t="s">
        <v>125</v>
      </c>
      <c r="C472">
        <v>20.254999999999999</v>
      </c>
      <c r="D472" t="s">
        <v>134</v>
      </c>
    </row>
    <row r="473" spans="1:4" x14ac:dyDescent="0.25">
      <c r="A473">
        <v>7107</v>
      </c>
      <c r="B473" t="s">
        <v>125</v>
      </c>
      <c r="C473">
        <v>7.2050000000000001</v>
      </c>
      <c r="D473" t="s">
        <v>134</v>
      </c>
    </row>
    <row r="474" spans="1:4" x14ac:dyDescent="0.25">
      <c r="A474">
        <v>709</v>
      </c>
      <c r="B474" t="s">
        <v>126</v>
      </c>
      <c r="C474">
        <v>4.32</v>
      </c>
      <c r="D474" t="s">
        <v>134</v>
      </c>
    </row>
    <row r="475" spans="1:4" x14ac:dyDescent="0.25">
      <c r="A475">
        <v>7099</v>
      </c>
      <c r="B475" t="s">
        <v>124</v>
      </c>
      <c r="C475">
        <v>72.877551020408163</v>
      </c>
      <c r="D475" t="s">
        <v>134</v>
      </c>
    </row>
    <row r="476" spans="1:4" x14ac:dyDescent="0.25">
      <c r="A476">
        <v>708</v>
      </c>
      <c r="B476" t="s">
        <v>126</v>
      </c>
      <c r="C476">
        <v>3.5399999999999996</v>
      </c>
      <c r="D476" t="s">
        <v>134</v>
      </c>
    </row>
    <row r="477" spans="1:4" x14ac:dyDescent="0.25">
      <c r="A477">
        <v>706</v>
      </c>
      <c r="B477" t="s">
        <v>126</v>
      </c>
      <c r="C477">
        <v>6.620729166666667</v>
      </c>
      <c r="D477" t="s">
        <v>134</v>
      </c>
    </row>
    <row r="478" spans="1:4" x14ac:dyDescent="0.25">
      <c r="A478">
        <v>7068</v>
      </c>
      <c r="B478" t="s">
        <v>125</v>
      </c>
      <c r="C478">
        <v>5.18</v>
      </c>
      <c r="D478" t="s">
        <v>134</v>
      </c>
    </row>
    <row r="479" spans="1:4" x14ac:dyDescent="0.25">
      <c r="A479">
        <v>6</v>
      </c>
      <c r="B479" t="s">
        <v>124</v>
      </c>
      <c r="C479">
        <v>52</v>
      </c>
      <c r="D479" t="s">
        <v>134</v>
      </c>
    </row>
    <row r="480" spans="1:4" x14ac:dyDescent="0.25">
      <c r="A480">
        <v>69</v>
      </c>
      <c r="B480" t="s">
        <v>124</v>
      </c>
      <c r="C480">
        <v>9.32</v>
      </c>
      <c r="D480" t="s">
        <v>134</v>
      </c>
    </row>
    <row r="481" spans="1:4" x14ac:dyDescent="0.25">
      <c r="A481">
        <v>6998</v>
      </c>
      <c r="B481" t="s">
        <v>124</v>
      </c>
      <c r="C481">
        <v>36.020000000000003</v>
      </c>
      <c r="D481" t="s">
        <v>134</v>
      </c>
    </row>
    <row r="482" spans="1:4" x14ac:dyDescent="0.25">
      <c r="A482">
        <v>6979</v>
      </c>
      <c r="B482" t="s">
        <v>125</v>
      </c>
      <c r="C482">
        <v>11.44</v>
      </c>
      <c r="D482" t="s">
        <v>134</v>
      </c>
    </row>
    <row r="483" spans="1:4" x14ac:dyDescent="0.25">
      <c r="A483">
        <v>693</v>
      </c>
      <c r="B483" t="s">
        <v>125</v>
      </c>
      <c r="C483">
        <v>10.17</v>
      </c>
      <c r="D483" t="s">
        <v>134</v>
      </c>
    </row>
    <row r="484" spans="1:4" x14ac:dyDescent="0.25">
      <c r="A484">
        <v>690</v>
      </c>
      <c r="B484" t="s">
        <v>125</v>
      </c>
      <c r="C484">
        <v>4.2366666666666672</v>
      </c>
      <c r="D484" t="s">
        <v>134</v>
      </c>
    </row>
    <row r="485" spans="1:4" x14ac:dyDescent="0.25">
      <c r="A485">
        <v>68</v>
      </c>
      <c r="B485" t="s">
        <v>124</v>
      </c>
      <c r="C485">
        <v>17.37</v>
      </c>
      <c r="D485" t="s">
        <v>134</v>
      </c>
    </row>
    <row r="486" spans="1:4" x14ac:dyDescent="0.25">
      <c r="A486">
        <v>6885</v>
      </c>
      <c r="B486" t="s">
        <v>124</v>
      </c>
      <c r="C486">
        <v>4</v>
      </c>
      <c r="D486" t="s">
        <v>134</v>
      </c>
    </row>
    <row r="487" spans="1:4" x14ac:dyDescent="0.25">
      <c r="A487">
        <v>685</v>
      </c>
      <c r="B487" t="s">
        <v>125</v>
      </c>
      <c r="C487">
        <v>3.5</v>
      </c>
      <c r="D487" t="s">
        <v>134</v>
      </c>
    </row>
    <row r="488" spans="1:4" x14ac:dyDescent="0.25">
      <c r="A488">
        <v>684</v>
      </c>
      <c r="B488" t="s">
        <v>125</v>
      </c>
      <c r="C488">
        <v>5.08</v>
      </c>
      <c r="D488" t="s">
        <v>134</v>
      </c>
    </row>
    <row r="489" spans="1:4" x14ac:dyDescent="0.25">
      <c r="A489">
        <v>683</v>
      </c>
      <c r="B489" t="s">
        <v>125</v>
      </c>
      <c r="C489">
        <v>17.88</v>
      </c>
      <c r="D489" t="s">
        <v>134</v>
      </c>
    </row>
    <row r="490" spans="1:4" x14ac:dyDescent="0.25">
      <c r="A490">
        <v>682</v>
      </c>
      <c r="B490" t="s">
        <v>125</v>
      </c>
      <c r="C490">
        <v>7</v>
      </c>
      <c r="D490" t="s">
        <v>134</v>
      </c>
    </row>
    <row r="491" spans="1:4" x14ac:dyDescent="0.25">
      <c r="A491">
        <v>6824</v>
      </c>
      <c r="B491" t="s">
        <v>124</v>
      </c>
      <c r="C491">
        <v>23.728000000000002</v>
      </c>
      <c r="D491" t="s">
        <v>134</v>
      </c>
    </row>
    <row r="492" spans="1:4" x14ac:dyDescent="0.25">
      <c r="A492">
        <v>681</v>
      </c>
      <c r="B492" t="s">
        <v>125</v>
      </c>
      <c r="C492">
        <v>15.255000000000001</v>
      </c>
      <c r="D492" t="s">
        <v>134</v>
      </c>
    </row>
    <row r="493" spans="1:4" x14ac:dyDescent="0.25">
      <c r="A493">
        <v>67</v>
      </c>
      <c r="B493" t="s">
        <v>124</v>
      </c>
      <c r="C493">
        <v>19</v>
      </c>
      <c r="D493" t="s">
        <v>134</v>
      </c>
    </row>
    <row r="494" spans="1:4" x14ac:dyDescent="0.25">
      <c r="A494">
        <v>6795</v>
      </c>
      <c r="B494" t="s">
        <v>124</v>
      </c>
      <c r="C494">
        <v>3.880555555555556</v>
      </c>
      <c r="D494" t="s">
        <v>134</v>
      </c>
    </row>
    <row r="495" spans="1:4" x14ac:dyDescent="0.25">
      <c r="A495">
        <v>678</v>
      </c>
      <c r="B495" t="s">
        <v>125</v>
      </c>
      <c r="C495">
        <v>9.32</v>
      </c>
      <c r="D495" t="s">
        <v>134</v>
      </c>
    </row>
    <row r="496" spans="1:4" x14ac:dyDescent="0.25">
      <c r="A496">
        <v>676</v>
      </c>
      <c r="B496" t="s">
        <v>125</v>
      </c>
      <c r="C496">
        <v>13.55875</v>
      </c>
      <c r="D496" t="s">
        <v>134</v>
      </c>
    </row>
    <row r="497" spans="1:4" x14ac:dyDescent="0.25">
      <c r="A497">
        <v>6769</v>
      </c>
      <c r="B497" t="s">
        <v>124</v>
      </c>
      <c r="C497">
        <v>3.39</v>
      </c>
      <c r="D497" t="s">
        <v>134</v>
      </c>
    </row>
    <row r="498" spans="1:4" x14ac:dyDescent="0.25">
      <c r="A498">
        <v>6760</v>
      </c>
      <c r="B498" t="s">
        <v>28</v>
      </c>
      <c r="C498">
        <v>0.1696</v>
      </c>
      <c r="D498" t="s">
        <v>134</v>
      </c>
    </row>
    <row r="499" spans="1:4" x14ac:dyDescent="0.25">
      <c r="A499">
        <v>675</v>
      </c>
      <c r="B499" t="s">
        <v>125</v>
      </c>
      <c r="C499">
        <v>30.19</v>
      </c>
      <c r="D499" t="s">
        <v>134</v>
      </c>
    </row>
    <row r="500" spans="1:4" x14ac:dyDescent="0.25">
      <c r="A500">
        <v>674</v>
      </c>
      <c r="B500" t="s">
        <v>125</v>
      </c>
      <c r="C500">
        <v>2.8499999999999996</v>
      </c>
      <c r="D500" t="s">
        <v>134</v>
      </c>
    </row>
    <row r="501" spans="1:4" x14ac:dyDescent="0.25">
      <c r="A501">
        <v>673</v>
      </c>
      <c r="B501" t="s">
        <v>125</v>
      </c>
      <c r="C501">
        <v>18.22</v>
      </c>
      <c r="D501" t="s">
        <v>134</v>
      </c>
    </row>
    <row r="502" spans="1:4" x14ac:dyDescent="0.25">
      <c r="A502">
        <v>671</v>
      </c>
      <c r="B502" t="s">
        <v>125</v>
      </c>
      <c r="C502">
        <v>8.56</v>
      </c>
      <c r="D502" t="s">
        <v>134</v>
      </c>
    </row>
    <row r="503" spans="1:4" x14ac:dyDescent="0.25">
      <c r="A503">
        <v>669</v>
      </c>
      <c r="B503" t="s">
        <v>125</v>
      </c>
      <c r="C503">
        <v>37.15</v>
      </c>
      <c r="D503" t="s">
        <v>134</v>
      </c>
    </row>
    <row r="504" spans="1:4" x14ac:dyDescent="0.25">
      <c r="A504">
        <v>6688</v>
      </c>
      <c r="B504" t="s">
        <v>125</v>
      </c>
      <c r="C504">
        <v>19.067500000000003</v>
      </c>
      <c r="D504" t="s">
        <v>134</v>
      </c>
    </row>
    <row r="505" spans="1:4" x14ac:dyDescent="0.25">
      <c r="A505">
        <v>664</v>
      </c>
      <c r="B505" t="s">
        <v>125</v>
      </c>
      <c r="C505">
        <v>8.4733333333333345</v>
      </c>
      <c r="D505" t="s">
        <v>134</v>
      </c>
    </row>
    <row r="506" spans="1:4" x14ac:dyDescent="0.25">
      <c r="A506">
        <v>663</v>
      </c>
      <c r="B506" t="s">
        <v>125</v>
      </c>
      <c r="C506">
        <v>1.2751004016064258</v>
      </c>
      <c r="D506" t="s">
        <v>134</v>
      </c>
    </row>
    <row r="507" spans="1:4" x14ac:dyDescent="0.25">
      <c r="A507">
        <v>662</v>
      </c>
      <c r="B507" t="s">
        <v>125</v>
      </c>
      <c r="C507">
        <v>2.7842857142857143</v>
      </c>
      <c r="D507" t="s">
        <v>134</v>
      </c>
    </row>
    <row r="508" spans="1:4" x14ac:dyDescent="0.25">
      <c r="A508">
        <v>6627</v>
      </c>
      <c r="B508" t="s">
        <v>124</v>
      </c>
      <c r="C508">
        <v>6</v>
      </c>
      <c r="D508" t="s">
        <v>134</v>
      </c>
    </row>
    <row r="509" spans="1:4" x14ac:dyDescent="0.25">
      <c r="A509">
        <v>6625</v>
      </c>
      <c r="B509" t="s">
        <v>125</v>
      </c>
      <c r="C509">
        <v>7.1999999999999993</v>
      </c>
      <c r="D509" t="s">
        <v>134</v>
      </c>
    </row>
    <row r="510" spans="1:4" x14ac:dyDescent="0.25">
      <c r="A510">
        <v>6621</v>
      </c>
      <c r="B510" t="s">
        <v>125</v>
      </c>
      <c r="C510">
        <v>8.35</v>
      </c>
      <c r="D510" t="s">
        <v>134</v>
      </c>
    </row>
    <row r="511" spans="1:4" x14ac:dyDescent="0.25">
      <c r="A511">
        <v>660</v>
      </c>
      <c r="B511" t="s">
        <v>125</v>
      </c>
      <c r="C511">
        <v>1.5249999999999999</v>
      </c>
      <c r="D511" t="s">
        <v>134</v>
      </c>
    </row>
    <row r="512" spans="1:4" x14ac:dyDescent="0.25">
      <c r="A512">
        <v>657</v>
      </c>
      <c r="B512" t="s">
        <v>125</v>
      </c>
      <c r="C512">
        <v>25.34</v>
      </c>
      <c r="D512" t="s">
        <v>134</v>
      </c>
    </row>
    <row r="513" spans="1:4" x14ac:dyDescent="0.25">
      <c r="A513">
        <v>656</v>
      </c>
      <c r="B513" t="s">
        <v>125</v>
      </c>
      <c r="C513">
        <v>3.8149999999999999</v>
      </c>
      <c r="D513" t="s">
        <v>134</v>
      </c>
    </row>
    <row r="514" spans="1:4" x14ac:dyDescent="0.25">
      <c r="A514">
        <v>650</v>
      </c>
      <c r="B514" t="s">
        <v>125</v>
      </c>
      <c r="C514">
        <v>16.489999999999998</v>
      </c>
      <c r="D514" t="s">
        <v>134</v>
      </c>
    </row>
    <row r="515" spans="1:4" x14ac:dyDescent="0.25">
      <c r="A515">
        <v>6496</v>
      </c>
      <c r="B515" t="s">
        <v>124</v>
      </c>
      <c r="C515">
        <v>54.249999999999993</v>
      </c>
      <c r="D515" t="s">
        <v>134</v>
      </c>
    </row>
    <row r="516" spans="1:4" x14ac:dyDescent="0.25">
      <c r="A516">
        <v>644</v>
      </c>
      <c r="B516" t="s">
        <v>125</v>
      </c>
      <c r="C516">
        <v>5.33</v>
      </c>
      <c r="D516" t="s">
        <v>134</v>
      </c>
    </row>
    <row r="517" spans="1:4" x14ac:dyDescent="0.25">
      <c r="A517">
        <v>639</v>
      </c>
      <c r="B517" t="s">
        <v>125</v>
      </c>
      <c r="C517">
        <v>0.33889999999999998</v>
      </c>
      <c r="D517" t="s">
        <v>134</v>
      </c>
    </row>
    <row r="518" spans="1:4" x14ac:dyDescent="0.25">
      <c r="A518">
        <v>6380</v>
      </c>
      <c r="B518" t="s">
        <v>126</v>
      </c>
      <c r="C518">
        <v>4.24</v>
      </c>
      <c r="D518" t="s">
        <v>134</v>
      </c>
    </row>
    <row r="519" spans="1:4" x14ac:dyDescent="0.25">
      <c r="A519">
        <v>6369</v>
      </c>
      <c r="B519" t="s">
        <v>124</v>
      </c>
      <c r="C519">
        <v>5</v>
      </c>
      <c r="D519" t="s">
        <v>134</v>
      </c>
    </row>
    <row r="520" spans="1:4" x14ac:dyDescent="0.25">
      <c r="A520">
        <v>635</v>
      </c>
      <c r="B520" t="s">
        <v>125</v>
      </c>
      <c r="C520">
        <v>1.1800000000000002</v>
      </c>
      <c r="D520" t="s">
        <v>134</v>
      </c>
    </row>
    <row r="521" spans="1:4" x14ac:dyDescent="0.25">
      <c r="A521">
        <v>632</v>
      </c>
      <c r="B521" t="s">
        <v>125</v>
      </c>
      <c r="C521">
        <v>33.9</v>
      </c>
      <c r="D521" t="s">
        <v>134</v>
      </c>
    </row>
    <row r="522" spans="1:4" x14ac:dyDescent="0.25">
      <c r="A522">
        <v>630</v>
      </c>
      <c r="B522" t="s">
        <v>125</v>
      </c>
      <c r="C522">
        <v>12.5</v>
      </c>
      <c r="D522" t="s">
        <v>134</v>
      </c>
    </row>
    <row r="523" spans="1:4" x14ac:dyDescent="0.25">
      <c r="A523">
        <v>62</v>
      </c>
      <c r="B523" t="s">
        <v>124</v>
      </c>
      <c r="C523">
        <v>20.589285714285712</v>
      </c>
      <c r="D523" t="s">
        <v>134</v>
      </c>
    </row>
    <row r="524" spans="1:4" x14ac:dyDescent="0.25">
      <c r="A524">
        <v>628</v>
      </c>
      <c r="B524" t="s">
        <v>125</v>
      </c>
      <c r="C524">
        <v>7.72</v>
      </c>
      <c r="D524" t="s">
        <v>134</v>
      </c>
    </row>
    <row r="525" spans="1:4" x14ac:dyDescent="0.25">
      <c r="A525">
        <v>6267</v>
      </c>
      <c r="B525" t="s">
        <v>124</v>
      </c>
      <c r="C525">
        <v>27</v>
      </c>
      <c r="D525" t="s">
        <v>134</v>
      </c>
    </row>
    <row r="526" spans="1:4" x14ac:dyDescent="0.25">
      <c r="A526">
        <v>624</v>
      </c>
      <c r="B526" t="s">
        <v>125</v>
      </c>
      <c r="C526">
        <v>7.93</v>
      </c>
      <c r="D526" t="s">
        <v>134</v>
      </c>
    </row>
    <row r="527" spans="1:4" x14ac:dyDescent="0.25">
      <c r="A527">
        <v>622</v>
      </c>
      <c r="B527" t="s">
        <v>125</v>
      </c>
      <c r="C527">
        <v>10.66</v>
      </c>
      <c r="D527" t="s">
        <v>134</v>
      </c>
    </row>
    <row r="528" spans="1:4" x14ac:dyDescent="0.25">
      <c r="A528">
        <v>620</v>
      </c>
      <c r="B528" t="s">
        <v>125</v>
      </c>
      <c r="C528">
        <v>21.186666666666667</v>
      </c>
      <c r="D528" t="s">
        <v>134</v>
      </c>
    </row>
    <row r="529" spans="1:4" x14ac:dyDescent="0.25">
      <c r="A529">
        <v>619</v>
      </c>
      <c r="B529" t="s">
        <v>125</v>
      </c>
      <c r="C529">
        <v>16.948333333333334</v>
      </c>
      <c r="D529" t="s">
        <v>134</v>
      </c>
    </row>
    <row r="530" spans="1:4" x14ac:dyDescent="0.25">
      <c r="A530">
        <v>617</v>
      </c>
      <c r="B530" t="s">
        <v>125</v>
      </c>
      <c r="C530">
        <v>8.9</v>
      </c>
      <c r="D530" t="s">
        <v>134</v>
      </c>
    </row>
    <row r="531" spans="1:4" x14ac:dyDescent="0.25">
      <c r="A531">
        <v>6170</v>
      </c>
      <c r="B531" t="s">
        <v>124</v>
      </c>
      <c r="C531">
        <v>7.63</v>
      </c>
      <c r="D531" t="s">
        <v>134</v>
      </c>
    </row>
    <row r="532" spans="1:4" x14ac:dyDescent="0.25">
      <c r="A532">
        <v>6169</v>
      </c>
      <c r="B532" t="s">
        <v>124</v>
      </c>
      <c r="C532">
        <v>27</v>
      </c>
      <c r="D532" t="s">
        <v>134</v>
      </c>
    </row>
    <row r="533" spans="1:4" x14ac:dyDescent="0.25">
      <c r="A533">
        <v>6164</v>
      </c>
      <c r="B533" t="s">
        <v>124</v>
      </c>
      <c r="C533">
        <v>19</v>
      </c>
      <c r="D533" t="s">
        <v>134</v>
      </c>
    </row>
    <row r="534" spans="1:4" x14ac:dyDescent="0.25">
      <c r="A534">
        <v>613</v>
      </c>
      <c r="B534" t="s">
        <v>125</v>
      </c>
      <c r="C534">
        <v>2.6886111111111113</v>
      </c>
      <c r="D534" t="s">
        <v>134</v>
      </c>
    </row>
    <row r="535" spans="1:4" x14ac:dyDescent="0.25">
      <c r="A535">
        <v>609</v>
      </c>
      <c r="B535" t="s">
        <v>125</v>
      </c>
      <c r="C535">
        <v>26.463333333333335</v>
      </c>
      <c r="D535" t="s">
        <v>134</v>
      </c>
    </row>
    <row r="536" spans="1:4" x14ac:dyDescent="0.25">
      <c r="A536">
        <v>605</v>
      </c>
      <c r="B536" t="s">
        <v>124</v>
      </c>
      <c r="C536">
        <v>5</v>
      </c>
      <c r="D536" t="s">
        <v>134</v>
      </c>
    </row>
    <row r="537" spans="1:4" x14ac:dyDescent="0.25">
      <c r="A537">
        <v>604</v>
      </c>
      <c r="B537" t="s">
        <v>124</v>
      </c>
      <c r="C537">
        <v>2.5</v>
      </c>
      <c r="D537" t="s">
        <v>134</v>
      </c>
    </row>
    <row r="538" spans="1:4" x14ac:dyDescent="0.25">
      <c r="A538">
        <v>602</v>
      </c>
      <c r="B538" t="s">
        <v>124</v>
      </c>
      <c r="C538">
        <v>18</v>
      </c>
      <c r="D538" t="s">
        <v>134</v>
      </c>
    </row>
    <row r="539" spans="1:4" x14ac:dyDescent="0.25">
      <c r="A539">
        <v>601</v>
      </c>
      <c r="B539" t="s">
        <v>124</v>
      </c>
      <c r="C539">
        <v>3</v>
      </c>
      <c r="D539" t="s">
        <v>134</v>
      </c>
    </row>
    <row r="540" spans="1:4" x14ac:dyDescent="0.25">
      <c r="A540">
        <v>59</v>
      </c>
      <c r="B540" t="s">
        <v>124</v>
      </c>
      <c r="C540">
        <v>296.62</v>
      </c>
      <c r="D540" t="s">
        <v>134</v>
      </c>
    </row>
    <row r="541" spans="1:4" x14ac:dyDescent="0.25">
      <c r="A541">
        <v>596</v>
      </c>
      <c r="B541" t="s">
        <v>124</v>
      </c>
      <c r="C541">
        <v>5</v>
      </c>
      <c r="D541" t="s">
        <v>134</v>
      </c>
    </row>
    <row r="542" spans="1:4" x14ac:dyDescent="0.25">
      <c r="A542">
        <v>595</v>
      </c>
      <c r="B542" t="s">
        <v>124</v>
      </c>
      <c r="C542">
        <v>4.5</v>
      </c>
      <c r="D542" t="s">
        <v>134</v>
      </c>
    </row>
    <row r="543" spans="1:4" x14ac:dyDescent="0.25">
      <c r="A543">
        <v>5956</v>
      </c>
      <c r="B543" t="s">
        <v>124</v>
      </c>
      <c r="C543">
        <v>10.595000000000001</v>
      </c>
      <c r="D543" t="s">
        <v>134</v>
      </c>
    </row>
    <row r="544" spans="1:4" x14ac:dyDescent="0.25">
      <c r="A544">
        <v>593</v>
      </c>
      <c r="B544" t="s">
        <v>124</v>
      </c>
      <c r="C544">
        <v>16.5</v>
      </c>
      <c r="D544" t="s">
        <v>134</v>
      </c>
    </row>
    <row r="545" spans="1:4" x14ac:dyDescent="0.25">
      <c r="A545">
        <v>5932</v>
      </c>
      <c r="B545" t="s">
        <v>124</v>
      </c>
      <c r="C545">
        <v>1.6948958333333335</v>
      </c>
      <c r="D545" t="s">
        <v>134</v>
      </c>
    </row>
    <row r="546" spans="1:4" x14ac:dyDescent="0.25">
      <c r="A546">
        <v>592</v>
      </c>
      <c r="B546" t="s">
        <v>124</v>
      </c>
      <c r="C546">
        <v>5.8999999999999995</v>
      </c>
      <c r="D546" t="s">
        <v>134</v>
      </c>
    </row>
    <row r="547" spans="1:4" x14ac:dyDescent="0.25">
      <c r="A547">
        <v>591</v>
      </c>
      <c r="B547" t="s">
        <v>124</v>
      </c>
      <c r="C547">
        <v>5.5</v>
      </c>
      <c r="D547" t="s">
        <v>134</v>
      </c>
    </row>
    <row r="548" spans="1:4" x14ac:dyDescent="0.25">
      <c r="A548">
        <v>590</v>
      </c>
      <c r="B548" t="s">
        <v>124</v>
      </c>
      <c r="C548">
        <v>9</v>
      </c>
      <c r="D548" t="s">
        <v>134</v>
      </c>
    </row>
    <row r="549" spans="1:4" x14ac:dyDescent="0.25">
      <c r="A549">
        <v>589</v>
      </c>
      <c r="B549" t="s">
        <v>124</v>
      </c>
      <c r="C549">
        <v>4</v>
      </c>
      <c r="D549" t="s">
        <v>134</v>
      </c>
    </row>
    <row r="550" spans="1:4" x14ac:dyDescent="0.25">
      <c r="A550">
        <v>586</v>
      </c>
      <c r="B550" t="s">
        <v>124</v>
      </c>
      <c r="C550">
        <v>13</v>
      </c>
      <c r="D550" t="s">
        <v>134</v>
      </c>
    </row>
    <row r="551" spans="1:4" x14ac:dyDescent="0.25">
      <c r="A551">
        <v>583</v>
      </c>
      <c r="B551" t="s">
        <v>124</v>
      </c>
      <c r="C551">
        <v>2</v>
      </c>
      <c r="D551" t="s">
        <v>134</v>
      </c>
    </row>
    <row r="552" spans="1:4" x14ac:dyDescent="0.25">
      <c r="A552">
        <v>581</v>
      </c>
      <c r="B552" t="s">
        <v>124</v>
      </c>
      <c r="C552">
        <v>3.5</v>
      </c>
      <c r="D552" t="s">
        <v>134</v>
      </c>
    </row>
    <row r="553" spans="1:4" x14ac:dyDescent="0.25">
      <c r="A553">
        <v>580</v>
      </c>
      <c r="B553" t="s">
        <v>124</v>
      </c>
      <c r="C553">
        <v>8.0883116883116895</v>
      </c>
      <c r="D553" t="s">
        <v>134</v>
      </c>
    </row>
    <row r="554" spans="1:4" x14ac:dyDescent="0.25">
      <c r="A554">
        <v>580</v>
      </c>
      <c r="B554" t="s">
        <v>124</v>
      </c>
      <c r="C554">
        <v>6</v>
      </c>
      <c r="D554" t="s">
        <v>134</v>
      </c>
    </row>
    <row r="555" spans="1:4" x14ac:dyDescent="0.25">
      <c r="A555">
        <v>577</v>
      </c>
      <c r="B555" t="s">
        <v>124</v>
      </c>
      <c r="C555">
        <v>7.63</v>
      </c>
      <c r="D555" t="s">
        <v>134</v>
      </c>
    </row>
    <row r="556" spans="1:4" x14ac:dyDescent="0.25">
      <c r="A556">
        <v>56</v>
      </c>
      <c r="B556" t="s">
        <v>124</v>
      </c>
      <c r="C556">
        <v>67.392265193370164</v>
      </c>
      <c r="D556" t="s">
        <v>134</v>
      </c>
    </row>
    <row r="557" spans="1:4" x14ac:dyDescent="0.25">
      <c r="A557">
        <v>567</v>
      </c>
      <c r="B557" t="s">
        <v>124</v>
      </c>
      <c r="C557">
        <v>7.5</v>
      </c>
      <c r="D557" t="s">
        <v>134</v>
      </c>
    </row>
    <row r="558" spans="1:4" x14ac:dyDescent="0.25">
      <c r="A558">
        <v>563</v>
      </c>
      <c r="B558" t="s">
        <v>124</v>
      </c>
      <c r="C558">
        <v>4</v>
      </c>
      <c r="D558" t="s">
        <v>134</v>
      </c>
    </row>
    <row r="559" spans="1:4" x14ac:dyDescent="0.25">
      <c r="A559">
        <v>55</v>
      </c>
      <c r="B559" t="s">
        <v>124</v>
      </c>
      <c r="C559">
        <v>74.693333333333342</v>
      </c>
      <c r="D559" t="s">
        <v>134</v>
      </c>
    </row>
    <row r="560" spans="1:4" x14ac:dyDescent="0.25">
      <c r="A560">
        <v>556</v>
      </c>
      <c r="B560" t="s">
        <v>124</v>
      </c>
      <c r="C560">
        <v>5</v>
      </c>
      <c r="D560" t="s">
        <v>134</v>
      </c>
    </row>
    <row r="561" spans="1:4" x14ac:dyDescent="0.25">
      <c r="A561">
        <v>555</v>
      </c>
      <c r="B561" t="s">
        <v>124</v>
      </c>
      <c r="C561">
        <v>5.5</v>
      </c>
      <c r="D561" t="s">
        <v>134</v>
      </c>
    </row>
    <row r="562" spans="1:4" x14ac:dyDescent="0.25">
      <c r="A562">
        <v>552</v>
      </c>
      <c r="B562" t="s">
        <v>124</v>
      </c>
      <c r="C562">
        <v>3.9039999999999999</v>
      </c>
      <c r="D562" t="s">
        <v>134</v>
      </c>
    </row>
    <row r="563" spans="1:4" x14ac:dyDescent="0.25">
      <c r="A563">
        <v>5524</v>
      </c>
      <c r="B563" t="s">
        <v>126</v>
      </c>
      <c r="C563">
        <v>6.78</v>
      </c>
      <c r="D563" t="s">
        <v>134</v>
      </c>
    </row>
    <row r="564" spans="1:4" x14ac:dyDescent="0.25">
      <c r="A564">
        <v>551</v>
      </c>
      <c r="B564" t="s">
        <v>124</v>
      </c>
      <c r="C564">
        <v>3</v>
      </c>
      <c r="D564" t="s">
        <v>134</v>
      </c>
    </row>
    <row r="565" spans="1:4" x14ac:dyDescent="0.25">
      <c r="A565">
        <v>5481</v>
      </c>
      <c r="B565" t="s">
        <v>125</v>
      </c>
      <c r="C565">
        <v>12.39</v>
      </c>
      <c r="D565" t="s">
        <v>134</v>
      </c>
    </row>
    <row r="566" spans="1:4" x14ac:dyDescent="0.25">
      <c r="A566">
        <v>5480</v>
      </c>
      <c r="B566" t="s">
        <v>125</v>
      </c>
      <c r="C566">
        <v>16.95</v>
      </c>
      <c r="D566" t="s">
        <v>134</v>
      </c>
    </row>
    <row r="567" spans="1:4" x14ac:dyDescent="0.25">
      <c r="A567">
        <v>544</v>
      </c>
      <c r="B567" t="s">
        <v>124</v>
      </c>
      <c r="C567">
        <v>3</v>
      </c>
      <c r="D567" t="s">
        <v>134</v>
      </c>
    </row>
    <row r="568" spans="1:4" x14ac:dyDescent="0.25">
      <c r="A568">
        <v>543</v>
      </c>
      <c r="B568" t="s">
        <v>124</v>
      </c>
      <c r="C568">
        <v>3.3</v>
      </c>
      <c r="D568" t="s">
        <v>134</v>
      </c>
    </row>
    <row r="569" spans="1:4" x14ac:dyDescent="0.25">
      <c r="A569">
        <v>542</v>
      </c>
      <c r="B569" t="s">
        <v>124</v>
      </c>
      <c r="C569">
        <v>6</v>
      </c>
      <c r="D569" t="s">
        <v>134</v>
      </c>
    </row>
    <row r="570" spans="1:4" x14ac:dyDescent="0.25">
      <c r="A570">
        <v>5407</v>
      </c>
      <c r="B570" t="s">
        <v>124</v>
      </c>
      <c r="C570">
        <v>22.48</v>
      </c>
      <c r="D570" t="s">
        <v>134</v>
      </c>
    </row>
    <row r="571" spans="1:4" x14ac:dyDescent="0.25">
      <c r="A571">
        <v>5406</v>
      </c>
      <c r="B571" t="s">
        <v>124</v>
      </c>
      <c r="C571">
        <v>10</v>
      </c>
      <c r="D571" t="s">
        <v>134</v>
      </c>
    </row>
    <row r="572" spans="1:4" x14ac:dyDescent="0.25">
      <c r="A572">
        <v>5405</v>
      </c>
      <c r="B572" t="s">
        <v>124</v>
      </c>
      <c r="C572">
        <v>9</v>
      </c>
      <c r="D572" t="s">
        <v>134</v>
      </c>
    </row>
    <row r="573" spans="1:4" x14ac:dyDescent="0.25">
      <c r="A573">
        <v>5401</v>
      </c>
      <c r="B573" t="s">
        <v>124</v>
      </c>
      <c r="C573">
        <v>33.9</v>
      </c>
      <c r="D573" t="s">
        <v>134</v>
      </c>
    </row>
    <row r="574" spans="1:4" x14ac:dyDescent="0.25">
      <c r="A574">
        <v>53</v>
      </c>
      <c r="B574" t="s">
        <v>124</v>
      </c>
      <c r="C574">
        <v>149.52941176470588</v>
      </c>
      <c r="D574" t="s">
        <v>134</v>
      </c>
    </row>
    <row r="575" spans="1:4" x14ac:dyDescent="0.25">
      <c r="A575">
        <v>537</v>
      </c>
      <c r="B575" t="s">
        <v>124</v>
      </c>
      <c r="C575">
        <v>6</v>
      </c>
      <c r="D575" t="s">
        <v>134</v>
      </c>
    </row>
    <row r="576" spans="1:4" x14ac:dyDescent="0.25">
      <c r="A576">
        <v>535</v>
      </c>
      <c r="B576" t="s">
        <v>124</v>
      </c>
      <c r="C576">
        <v>4.2</v>
      </c>
      <c r="D576" t="s">
        <v>134</v>
      </c>
    </row>
    <row r="577" spans="1:4" x14ac:dyDescent="0.25">
      <c r="A577">
        <v>533</v>
      </c>
      <c r="B577" t="s">
        <v>124</v>
      </c>
      <c r="C577">
        <v>19</v>
      </c>
      <c r="D577" t="s">
        <v>134</v>
      </c>
    </row>
    <row r="578" spans="1:4" x14ac:dyDescent="0.25">
      <c r="A578">
        <v>5271</v>
      </c>
      <c r="B578" t="s">
        <v>125</v>
      </c>
      <c r="C578">
        <v>19.491666666666667</v>
      </c>
      <c r="D578" t="s">
        <v>134</v>
      </c>
    </row>
    <row r="579" spans="1:4" x14ac:dyDescent="0.25">
      <c r="A579">
        <v>524</v>
      </c>
      <c r="B579" t="s">
        <v>124</v>
      </c>
      <c r="C579">
        <v>5.5</v>
      </c>
      <c r="D579" t="s">
        <v>134</v>
      </c>
    </row>
    <row r="580" spans="1:4" x14ac:dyDescent="0.25">
      <c r="A580">
        <v>520</v>
      </c>
      <c r="B580" t="s">
        <v>124</v>
      </c>
      <c r="C580">
        <v>6.5</v>
      </c>
      <c r="D580" t="s">
        <v>134</v>
      </c>
    </row>
    <row r="581" spans="1:4" x14ac:dyDescent="0.25">
      <c r="A581">
        <v>512</v>
      </c>
      <c r="B581" t="s">
        <v>124</v>
      </c>
      <c r="C581">
        <v>2.8</v>
      </c>
      <c r="D581" t="s">
        <v>134</v>
      </c>
    </row>
    <row r="582" spans="1:4" x14ac:dyDescent="0.25">
      <c r="A582">
        <v>511</v>
      </c>
      <c r="B582" t="s">
        <v>124</v>
      </c>
      <c r="C582">
        <v>11</v>
      </c>
      <c r="D582" t="s">
        <v>134</v>
      </c>
    </row>
    <row r="583" spans="1:4" x14ac:dyDescent="0.25">
      <c r="A583">
        <v>5110</v>
      </c>
      <c r="B583" t="s">
        <v>124</v>
      </c>
      <c r="C583">
        <v>109</v>
      </c>
      <c r="D583" t="s">
        <v>134</v>
      </c>
    </row>
    <row r="584" spans="1:4" x14ac:dyDescent="0.25">
      <c r="A584">
        <v>50</v>
      </c>
      <c r="B584" t="s">
        <v>124</v>
      </c>
      <c r="C584">
        <v>6.78</v>
      </c>
      <c r="D584" t="s">
        <v>134</v>
      </c>
    </row>
    <row r="585" spans="1:4" x14ac:dyDescent="0.25">
      <c r="A585">
        <v>509</v>
      </c>
      <c r="B585" t="s">
        <v>124</v>
      </c>
      <c r="C585">
        <v>6</v>
      </c>
      <c r="D585" t="s">
        <v>134</v>
      </c>
    </row>
    <row r="586" spans="1:4" x14ac:dyDescent="0.25">
      <c r="A586">
        <v>507</v>
      </c>
      <c r="B586" t="s">
        <v>124</v>
      </c>
      <c r="C586">
        <v>8</v>
      </c>
      <c r="D586" t="s">
        <v>134</v>
      </c>
    </row>
    <row r="587" spans="1:4" x14ac:dyDescent="0.25">
      <c r="A587">
        <v>5075</v>
      </c>
      <c r="B587" t="s">
        <v>124</v>
      </c>
      <c r="C587">
        <v>1.6101666666666667</v>
      </c>
      <c r="D587" t="s">
        <v>134</v>
      </c>
    </row>
    <row r="588" spans="1:4" x14ac:dyDescent="0.25">
      <c r="A588">
        <v>506</v>
      </c>
      <c r="B588" t="s">
        <v>124</v>
      </c>
      <c r="C588">
        <v>3.9</v>
      </c>
      <c r="D588" t="s">
        <v>134</v>
      </c>
    </row>
    <row r="589" spans="1:4" x14ac:dyDescent="0.25">
      <c r="A589">
        <v>505</v>
      </c>
      <c r="B589" t="s">
        <v>124</v>
      </c>
      <c r="C589">
        <v>6</v>
      </c>
      <c r="D589" t="s">
        <v>134</v>
      </c>
    </row>
    <row r="590" spans="1:4" x14ac:dyDescent="0.25">
      <c r="A590">
        <v>5055</v>
      </c>
      <c r="B590" t="s">
        <v>125</v>
      </c>
      <c r="C590">
        <v>13.56</v>
      </c>
      <c r="D590" t="s">
        <v>134</v>
      </c>
    </row>
    <row r="591" spans="1:4" x14ac:dyDescent="0.25">
      <c r="A591">
        <v>5053</v>
      </c>
      <c r="B591" t="s">
        <v>125</v>
      </c>
      <c r="C591">
        <v>12.71</v>
      </c>
      <c r="D591" t="s">
        <v>134</v>
      </c>
    </row>
    <row r="592" spans="1:4" x14ac:dyDescent="0.25">
      <c r="A592">
        <v>503</v>
      </c>
      <c r="B592" t="s">
        <v>124</v>
      </c>
      <c r="C592">
        <v>4</v>
      </c>
      <c r="D592" t="s">
        <v>134</v>
      </c>
    </row>
    <row r="593" spans="1:4" x14ac:dyDescent="0.25">
      <c r="A593">
        <v>5030</v>
      </c>
      <c r="B593" t="s">
        <v>124</v>
      </c>
      <c r="C593">
        <v>61.016666666666666</v>
      </c>
      <c r="D593" t="s">
        <v>134</v>
      </c>
    </row>
    <row r="594" spans="1:4" x14ac:dyDescent="0.25">
      <c r="A594">
        <v>49</v>
      </c>
      <c r="B594" t="s">
        <v>124</v>
      </c>
      <c r="C594">
        <v>2.5000000000000001E-2</v>
      </c>
      <c r="D594" t="s">
        <v>134</v>
      </c>
    </row>
    <row r="595" spans="1:4" x14ac:dyDescent="0.25">
      <c r="A595">
        <v>4986</v>
      </c>
      <c r="B595" t="s">
        <v>124</v>
      </c>
      <c r="C595">
        <v>20.34</v>
      </c>
      <c r="D595" t="s">
        <v>134</v>
      </c>
    </row>
    <row r="596" spans="1:4" x14ac:dyDescent="0.25">
      <c r="A596">
        <v>495</v>
      </c>
      <c r="B596" t="s">
        <v>124</v>
      </c>
      <c r="C596">
        <v>6</v>
      </c>
      <c r="D596" t="s">
        <v>134</v>
      </c>
    </row>
    <row r="597" spans="1:4" x14ac:dyDescent="0.25">
      <c r="A597">
        <v>493</v>
      </c>
      <c r="B597" t="s">
        <v>124</v>
      </c>
      <c r="C597">
        <v>2.5</v>
      </c>
      <c r="D597" t="s">
        <v>134</v>
      </c>
    </row>
    <row r="598" spans="1:4" x14ac:dyDescent="0.25">
      <c r="A598">
        <v>4939</v>
      </c>
      <c r="B598" t="s">
        <v>124</v>
      </c>
      <c r="C598">
        <v>50.85</v>
      </c>
      <c r="D598" t="s">
        <v>134</v>
      </c>
    </row>
    <row r="599" spans="1:4" x14ac:dyDescent="0.25">
      <c r="A599">
        <v>4937</v>
      </c>
      <c r="B599" t="s">
        <v>28</v>
      </c>
      <c r="C599">
        <v>42.288199999999996</v>
      </c>
      <c r="D599" t="s">
        <v>134</v>
      </c>
    </row>
    <row r="600" spans="1:4" x14ac:dyDescent="0.25">
      <c r="A600">
        <v>491</v>
      </c>
      <c r="B600" t="s">
        <v>124</v>
      </c>
      <c r="C600">
        <v>8</v>
      </c>
      <c r="D600" t="s">
        <v>134</v>
      </c>
    </row>
    <row r="601" spans="1:4" x14ac:dyDescent="0.25">
      <c r="A601">
        <v>48</v>
      </c>
      <c r="B601" t="s">
        <v>124</v>
      </c>
      <c r="C601">
        <v>4.3</v>
      </c>
      <c r="D601" t="s">
        <v>134</v>
      </c>
    </row>
    <row r="602" spans="1:4" x14ac:dyDescent="0.25">
      <c r="A602">
        <v>489</v>
      </c>
      <c r="B602" t="s">
        <v>124</v>
      </c>
      <c r="C602">
        <v>5.5</v>
      </c>
      <c r="D602" t="s">
        <v>134</v>
      </c>
    </row>
    <row r="603" spans="1:4" x14ac:dyDescent="0.25">
      <c r="A603">
        <v>488</v>
      </c>
      <c r="B603" t="s">
        <v>124</v>
      </c>
      <c r="C603">
        <v>4</v>
      </c>
      <c r="D603" t="s">
        <v>134</v>
      </c>
    </row>
    <row r="604" spans="1:4" x14ac:dyDescent="0.25">
      <c r="A604">
        <v>4878</v>
      </c>
      <c r="B604" t="s">
        <v>125</v>
      </c>
      <c r="C604">
        <v>2.5</v>
      </c>
      <c r="D604" t="s">
        <v>134</v>
      </c>
    </row>
    <row r="605" spans="1:4" x14ac:dyDescent="0.25">
      <c r="A605">
        <v>486</v>
      </c>
      <c r="B605" t="s">
        <v>124</v>
      </c>
      <c r="C605">
        <v>4.5</v>
      </c>
      <c r="D605" t="s">
        <v>134</v>
      </c>
    </row>
    <row r="606" spans="1:4" x14ac:dyDescent="0.25">
      <c r="A606">
        <v>4863</v>
      </c>
      <c r="B606" t="s">
        <v>124</v>
      </c>
      <c r="C606">
        <v>29.66</v>
      </c>
      <c r="D606" t="s">
        <v>134</v>
      </c>
    </row>
    <row r="607" spans="1:4" x14ac:dyDescent="0.25">
      <c r="A607">
        <v>484</v>
      </c>
      <c r="B607" t="s">
        <v>124</v>
      </c>
      <c r="C607">
        <v>11</v>
      </c>
      <c r="D607" t="s">
        <v>134</v>
      </c>
    </row>
    <row r="608" spans="1:4" x14ac:dyDescent="0.25">
      <c r="A608">
        <v>4835</v>
      </c>
      <c r="B608" t="s">
        <v>124</v>
      </c>
      <c r="C608">
        <v>19.777777777777779</v>
      </c>
      <c r="D608" t="s">
        <v>134</v>
      </c>
    </row>
    <row r="609" spans="1:4" x14ac:dyDescent="0.25">
      <c r="A609">
        <v>480</v>
      </c>
      <c r="B609" t="s">
        <v>124</v>
      </c>
      <c r="C609">
        <v>11.002444987775062</v>
      </c>
      <c r="D609" t="s">
        <v>134</v>
      </c>
    </row>
    <row r="610" spans="1:4" x14ac:dyDescent="0.25">
      <c r="A610">
        <v>47</v>
      </c>
      <c r="B610" t="s">
        <v>124</v>
      </c>
      <c r="C610">
        <v>12.4</v>
      </c>
      <c r="D610" t="s">
        <v>134</v>
      </c>
    </row>
    <row r="611" spans="1:4" x14ac:dyDescent="0.25">
      <c r="A611">
        <v>479</v>
      </c>
      <c r="B611" t="s">
        <v>124</v>
      </c>
      <c r="C611">
        <v>7</v>
      </c>
      <c r="D611" t="s">
        <v>134</v>
      </c>
    </row>
    <row r="612" spans="1:4" x14ac:dyDescent="0.25">
      <c r="A612">
        <v>471</v>
      </c>
      <c r="B612" t="s">
        <v>124</v>
      </c>
      <c r="C612">
        <v>34.5</v>
      </c>
      <c r="D612" t="s">
        <v>134</v>
      </c>
    </row>
    <row r="613" spans="1:4" x14ac:dyDescent="0.25">
      <c r="A613">
        <v>4684</v>
      </c>
      <c r="B613" t="s">
        <v>124</v>
      </c>
      <c r="C613">
        <v>25.423999999999999</v>
      </c>
      <c r="D613" t="s">
        <v>134</v>
      </c>
    </row>
    <row r="614" spans="1:4" x14ac:dyDescent="0.25">
      <c r="A614">
        <v>4651</v>
      </c>
      <c r="B614" t="s">
        <v>124</v>
      </c>
      <c r="C614">
        <v>8.0500000000000007</v>
      </c>
      <c r="D614" t="s">
        <v>134</v>
      </c>
    </row>
    <row r="615" spans="1:4" x14ac:dyDescent="0.25">
      <c r="A615">
        <v>4636</v>
      </c>
      <c r="B615" t="s">
        <v>124</v>
      </c>
      <c r="C615">
        <v>18.64</v>
      </c>
      <c r="D615" t="s">
        <v>134</v>
      </c>
    </row>
    <row r="616" spans="1:4" x14ac:dyDescent="0.25">
      <c r="A616">
        <v>45</v>
      </c>
      <c r="B616" t="s">
        <v>124</v>
      </c>
      <c r="C616">
        <v>0.9199949999999999</v>
      </c>
      <c r="D616" t="s">
        <v>134</v>
      </c>
    </row>
    <row r="617" spans="1:4" x14ac:dyDescent="0.25">
      <c r="A617">
        <v>45</v>
      </c>
      <c r="B617" t="s">
        <v>124</v>
      </c>
      <c r="C617">
        <v>4.4000000000000004</v>
      </c>
      <c r="D617" t="s">
        <v>134</v>
      </c>
    </row>
    <row r="618" spans="1:4" x14ac:dyDescent="0.25">
      <c r="A618">
        <v>4232</v>
      </c>
      <c r="B618" t="s">
        <v>124</v>
      </c>
      <c r="C618">
        <v>1.6948958333333335</v>
      </c>
      <c r="D618" t="s">
        <v>134</v>
      </c>
    </row>
    <row r="619" spans="1:4" x14ac:dyDescent="0.25">
      <c r="A619">
        <v>418</v>
      </c>
      <c r="B619" t="s">
        <v>124</v>
      </c>
      <c r="C619">
        <v>83.05</v>
      </c>
      <c r="D619" t="s">
        <v>134</v>
      </c>
    </row>
    <row r="620" spans="1:4" x14ac:dyDescent="0.25">
      <c r="A620">
        <v>4155</v>
      </c>
      <c r="B620" t="s">
        <v>28</v>
      </c>
      <c r="C620">
        <v>5.5100000000000003E-2</v>
      </c>
      <c r="D620" t="s">
        <v>134</v>
      </c>
    </row>
    <row r="621" spans="1:4" x14ac:dyDescent="0.25">
      <c r="A621">
        <v>4152</v>
      </c>
      <c r="B621" t="s">
        <v>124</v>
      </c>
      <c r="C621">
        <v>21.185714285714287</v>
      </c>
      <c r="D621" t="s">
        <v>134</v>
      </c>
    </row>
    <row r="622" spans="1:4" x14ac:dyDescent="0.25">
      <c r="A622">
        <v>4114</v>
      </c>
      <c r="B622" t="s">
        <v>124</v>
      </c>
      <c r="C622">
        <v>5</v>
      </c>
      <c r="D622" t="s">
        <v>134</v>
      </c>
    </row>
    <row r="623" spans="1:4" x14ac:dyDescent="0.25">
      <c r="A623">
        <v>409</v>
      </c>
      <c r="B623" t="s">
        <v>124</v>
      </c>
      <c r="C623">
        <v>1.6949166666666666</v>
      </c>
      <c r="D623" t="s">
        <v>134</v>
      </c>
    </row>
    <row r="624" spans="1:4" x14ac:dyDescent="0.25">
      <c r="A624">
        <v>401</v>
      </c>
      <c r="B624" t="s">
        <v>124</v>
      </c>
      <c r="C624">
        <v>24</v>
      </c>
      <c r="D624" t="s">
        <v>134</v>
      </c>
    </row>
    <row r="625" spans="1:4" x14ac:dyDescent="0.25">
      <c r="A625">
        <v>3</v>
      </c>
      <c r="B625" t="s">
        <v>124</v>
      </c>
      <c r="C625">
        <v>18.211764705882356</v>
      </c>
      <c r="D625" t="s">
        <v>134</v>
      </c>
    </row>
    <row r="626" spans="1:4" x14ac:dyDescent="0.25">
      <c r="A626">
        <v>3996</v>
      </c>
      <c r="B626" t="s">
        <v>28</v>
      </c>
      <c r="C626">
        <v>0.59150000000000003</v>
      </c>
      <c r="D626" t="s">
        <v>134</v>
      </c>
    </row>
    <row r="627" spans="1:4" x14ac:dyDescent="0.25">
      <c r="A627">
        <v>3984</v>
      </c>
      <c r="B627" t="s">
        <v>125</v>
      </c>
      <c r="C627">
        <v>80.34</v>
      </c>
      <c r="D627" t="s">
        <v>134</v>
      </c>
    </row>
    <row r="628" spans="1:4" x14ac:dyDescent="0.25">
      <c r="A628">
        <v>3974</v>
      </c>
      <c r="B628" t="s">
        <v>28</v>
      </c>
      <c r="C628">
        <v>0.49570000000000003</v>
      </c>
      <c r="D628" t="s">
        <v>134</v>
      </c>
    </row>
    <row r="629" spans="1:4" x14ac:dyDescent="0.25">
      <c r="A629">
        <v>3973</v>
      </c>
      <c r="B629" t="s">
        <v>28</v>
      </c>
      <c r="C629">
        <v>1.1771</v>
      </c>
      <c r="D629" t="s">
        <v>134</v>
      </c>
    </row>
    <row r="630" spans="1:4" x14ac:dyDescent="0.25">
      <c r="A630">
        <v>391</v>
      </c>
      <c r="B630" t="s">
        <v>124</v>
      </c>
      <c r="C630">
        <v>30</v>
      </c>
      <c r="D630" t="s">
        <v>134</v>
      </c>
    </row>
    <row r="631" spans="1:4" x14ac:dyDescent="0.25">
      <c r="A631">
        <v>386</v>
      </c>
      <c r="B631" t="s">
        <v>124</v>
      </c>
      <c r="C631">
        <v>31.25</v>
      </c>
      <c r="D631" t="s">
        <v>134</v>
      </c>
    </row>
    <row r="632" spans="1:4" x14ac:dyDescent="0.25">
      <c r="A632">
        <v>383</v>
      </c>
      <c r="B632" t="s">
        <v>124</v>
      </c>
      <c r="C632">
        <v>7.6499999999999997E-3</v>
      </c>
      <c r="D632" t="s">
        <v>134</v>
      </c>
    </row>
    <row r="633" spans="1:4" x14ac:dyDescent="0.25">
      <c r="A633">
        <v>383</v>
      </c>
      <c r="B633" t="s">
        <v>124</v>
      </c>
      <c r="C633">
        <v>24.491633641567592</v>
      </c>
      <c r="D633" t="s">
        <v>134</v>
      </c>
    </row>
    <row r="634" spans="1:4" x14ac:dyDescent="0.25">
      <c r="A634">
        <v>3803</v>
      </c>
      <c r="B634" t="s">
        <v>125</v>
      </c>
      <c r="C634">
        <v>14.3</v>
      </c>
      <c r="D634" t="s">
        <v>134</v>
      </c>
    </row>
    <row r="635" spans="1:4" x14ac:dyDescent="0.25">
      <c r="A635">
        <v>3769</v>
      </c>
      <c r="B635" t="s">
        <v>124</v>
      </c>
      <c r="C635">
        <v>1.5255000000000001</v>
      </c>
      <c r="D635" t="s">
        <v>134</v>
      </c>
    </row>
    <row r="636" spans="1:4" x14ac:dyDescent="0.25">
      <c r="A636">
        <v>3724</v>
      </c>
      <c r="B636" t="s">
        <v>124</v>
      </c>
      <c r="C636">
        <v>6.78</v>
      </c>
      <c r="D636" t="s">
        <v>134</v>
      </c>
    </row>
    <row r="637" spans="1:4" x14ac:dyDescent="0.25">
      <c r="A637">
        <v>3713</v>
      </c>
      <c r="B637" t="s">
        <v>124</v>
      </c>
      <c r="C637">
        <v>4.2000000000000003E-2</v>
      </c>
      <c r="D637" t="s">
        <v>134</v>
      </c>
    </row>
    <row r="638" spans="1:4" x14ac:dyDescent="0.25">
      <c r="A638">
        <v>370</v>
      </c>
      <c r="B638" t="s">
        <v>124</v>
      </c>
      <c r="C638">
        <v>1</v>
      </c>
      <c r="D638" t="s">
        <v>134</v>
      </c>
    </row>
    <row r="639" spans="1:4" x14ac:dyDescent="0.25">
      <c r="A639">
        <v>3706</v>
      </c>
      <c r="B639" t="s">
        <v>124</v>
      </c>
      <c r="C639">
        <v>11.01</v>
      </c>
      <c r="D639" t="s">
        <v>134</v>
      </c>
    </row>
    <row r="640" spans="1:4" x14ac:dyDescent="0.25">
      <c r="A640">
        <v>3687</v>
      </c>
      <c r="B640" t="s">
        <v>125</v>
      </c>
      <c r="C640">
        <v>1.27</v>
      </c>
      <c r="D640" t="s">
        <v>134</v>
      </c>
    </row>
    <row r="641" spans="1:4" x14ac:dyDescent="0.25">
      <c r="A641">
        <v>3685</v>
      </c>
      <c r="B641" t="s">
        <v>125</v>
      </c>
      <c r="C641">
        <v>14</v>
      </c>
      <c r="D641" t="s">
        <v>134</v>
      </c>
    </row>
    <row r="642" spans="1:4" x14ac:dyDescent="0.25">
      <c r="A642">
        <v>367</v>
      </c>
      <c r="B642" t="s">
        <v>124</v>
      </c>
      <c r="C642">
        <v>3.8</v>
      </c>
      <c r="D642" t="s">
        <v>134</v>
      </c>
    </row>
    <row r="643" spans="1:4" x14ac:dyDescent="0.25">
      <c r="A643">
        <v>3667</v>
      </c>
      <c r="B643" t="s">
        <v>124</v>
      </c>
      <c r="C643">
        <v>152.5</v>
      </c>
      <c r="D643" t="s">
        <v>134</v>
      </c>
    </row>
    <row r="644" spans="1:4" x14ac:dyDescent="0.25">
      <c r="A644">
        <v>364</v>
      </c>
      <c r="B644" t="s">
        <v>124</v>
      </c>
      <c r="C644">
        <v>5.5</v>
      </c>
      <c r="D644" t="s">
        <v>134</v>
      </c>
    </row>
    <row r="645" spans="1:4" x14ac:dyDescent="0.25">
      <c r="A645">
        <v>363</v>
      </c>
      <c r="B645" t="s">
        <v>124</v>
      </c>
      <c r="C645">
        <v>9.5000000000000018</v>
      </c>
      <c r="D645" t="s">
        <v>134</v>
      </c>
    </row>
    <row r="646" spans="1:4" x14ac:dyDescent="0.25">
      <c r="A646">
        <v>3629</v>
      </c>
      <c r="B646" t="s">
        <v>124</v>
      </c>
      <c r="C646">
        <v>5.083333333333333</v>
      </c>
      <c r="D646" t="s">
        <v>134</v>
      </c>
    </row>
    <row r="647" spans="1:4" x14ac:dyDescent="0.25">
      <c r="A647">
        <v>361</v>
      </c>
      <c r="B647" t="s">
        <v>124</v>
      </c>
      <c r="C647">
        <v>7.5</v>
      </c>
      <c r="D647" t="s">
        <v>134</v>
      </c>
    </row>
    <row r="648" spans="1:4" x14ac:dyDescent="0.25">
      <c r="A648">
        <v>3617</v>
      </c>
      <c r="B648" t="s">
        <v>124</v>
      </c>
      <c r="C648">
        <v>67.8</v>
      </c>
      <c r="D648" t="s">
        <v>134</v>
      </c>
    </row>
    <row r="649" spans="1:4" x14ac:dyDescent="0.25">
      <c r="A649">
        <v>3616</v>
      </c>
      <c r="B649" t="s">
        <v>124</v>
      </c>
      <c r="C649">
        <v>8.5999999999999993E-2</v>
      </c>
      <c r="D649" t="s">
        <v>134</v>
      </c>
    </row>
    <row r="650" spans="1:4" x14ac:dyDescent="0.25">
      <c r="A650">
        <v>360</v>
      </c>
      <c r="B650" t="s">
        <v>124</v>
      </c>
      <c r="C650">
        <v>2.5</v>
      </c>
      <c r="D650" t="s">
        <v>134</v>
      </c>
    </row>
    <row r="651" spans="1:4" x14ac:dyDescent="0.25">
      <c r="A651">
        <v>3605</v>
      </c>
      <c r="B651" t="s">
        <v>124</v>
      </c>
      <c r="C651">
        <v>38.14</v>
      </c>
      <c r="D651" t="s">
        <v>134</v>
      </c>
    </row>
    <row r="652" spans="1:4" x14ac:dyDescent="0.25">
      <c r="A652">
        <v>3600</v>
      </c>
      <c r="B652" t="s">
        <v>125</v>
      </c>
      <c r="C652">
        <v>49.15</v>
      </c>
      <c r="D652" t="s">
        <v>134</v>
      </c>
    </row>
    <row r="653" spans="1:4" x14ac:dyDescent="0.25">
      <c r="A653">
        <v>359</v>
      </c>
      <c r="B653" t="s">
        <v>124</v>
      </c>
      <c r="C653">
        <v>45</v>
      </c>
      <c r="D653" t="s">
        <v>134</v>
      </c>
    </row>
    <row r="654" spans="1:4" x14ac:dyDescent="0.25">
      <c r="A654">
        <v>358</v>
      </c>
      <c r="B654" t="s">
        <v>124</v>
      </c>
      <c r="C654">
        <v>6</v>
      </c>
      <c r="D654" t="s">
        <v>134</v>
      </c>
    </row>
    <row r="655" spans="1:4" x14ac:dyDescent="0.25">
      <c r="A655">
        <v>355</v>
      </c>
      <c r="B655" t="s">
        <v>124</v>
      </c>
      <c r="C655">
        <v>7.5</v>
      </c>
      <c r="D655" t="s">
        <v>134</v>
      </c>
    </row>
    <row r="656" spans="1:4" x14ac:dyDescent="0.25">
      <c r="A656">
        <v>353</v>
      </c>
      <c r="B656" t="s">
        <v>124</v>
      </c>
      <c r="C656">
        <v>5</v>
      </c>
      <c r="D656" t="s">
        <v>134</v>
      </c>
    </row>
    <row r="657" spans="1:4" x14ac:dyDescent="0.25">
      <c r="A657">
        <v>352</v>
      </c>
      <c r="B657" t="s">
        <v>124</v>
      </c>
      <c r="C657">
        <v>12</v>
      </c>
      <c r="D657" t="s">
        <v>134</v>
      </c>
    </row>
    <row r="658" spans="1:4" x14ac:dyDescent="0.25">
      <c r="A658">
        <v>3510</v>
      </c>
      <c r="B658" t="s">
        <v>124</v>
      </c>
      <c r="C658">
        <v>28</v>
      </c>
      <c r="D658" t="s">
        <v>134</v>
      </c>
    </row>
    <row r="659" spans="1:4" x14ac:dyDescent="0.25">
      <c r="A659">
        <v>350</v>
      </c>
      <c r="B659" t="s">
        <v>124</v>
      </c>
      <c r="C659">
        <v>9</v>
      </c>
      <c r="D659" t="s">
        <v>134</v>
      </c>
    </row>
    <row r="660" spans="1:4" x14ac:dyDescent="0.25">
      <c r="A660">
        <v>3509</v>
      </c>
      <c r="B660" t="s">
        <v>28</v>
      </c>
      <c r="C660">
        <v>10.8474</v>
      </c>
      <c r="D660" t="s">
        <v>134</v>
      </c>
    </row>
    <row r="661" spans="1:4" x14ac:dyDescent="0.25">
      <c r="A661">
        <v>3496</v>
      </c>
      <c r="B661" t="s">
        <v>124</v>
      </c>
      <c r="C661">
        <v>15.26</v>
      </c>
      <c r="D661" t="s">
        <v>134</v>
      </c>
    </row>
    <row r="662" spans="1:4" x14ac:dyDescent="0.25">
      <c r="A662">
        <v>3495</v>
      </c>
      <c r="B662" t="s">
        <v>124</v>
      </c>
      <c r="C662">
        <v>23.73</v>
      </c>
      <c r="D662" t="s">
        <v>134</v>
      </c>
    </row>
    <row r="663" spans="1:4" x14ac:dyDescent="0.25">
      <c r="A663">
        <v>3489</v>
      </c>
      <c r="B663" t="s">
        <v>124</v>
      </c>
      <c r="C663">
        <v>5.9325000000000001</v>
      </c>
      <c r="D663" t="s">
        <v>134</v>
      </c>
    </row>
    <row r="664" spans="1:4" x14ac:dyDescent="0.25">
      <c r="A664">
        <v>346</v>
      </c>
      <c r="B664" t="s">
        <v>124</v>
      </c>
      <c r="C664">
        <v>4.3042553191489361</v>
      </c>
      <c r="D664" t="s">
        <v>134</v>
      </c>
    </row>
    <row r="665" spans="1:4" x14ac:dyDescent="0.25">
      <c r="A665">
        <v>344</v>
      </c>
      <c r="B665" t="s">
        <v>124</v>
      </c>
      <c r="C665">
        <v>12.5</v>
      </c>
      <c r="D665" t="s">
        <v>134</v>
      </c>
    </row>
    <row r="666" spans="1:4" x14ac:dyDescent="0.25">
      <c r="A666">
        <v>342</v>
      </c>
      <c r="B666" t="s">
        <v>124</v>
      </c>
      <c r="C666">
        <v>13</v>
      </c>
      <c r="D666" t="s">
        <v>134</v>
      </c>
    </row>
    <row r="667" spans="1:4" x14ac:dyDescent="0.25">
      <c r="A667">
        <v>341</v>
      </c>
      <c r="B667" t="s">
        <v>124</v>
      </c>
      <c r="C667">
        <v>60</v>
      </c>
      <c r="D667" t="s">
        <v>134</v>
      </c>
    </row>
    <row r="668" spans="1:4" x14ac:dyDescent="0.25">
      <c r="A668">
        <v>340</v>
      </c>
      <c r="B668" t="s">
        <v>124</v>
      </c>
      <c r="C668">
        <v>38.5</v>
      </c>
      <c r="D668" t="s">
        <v>134</v>
      </c>
    </row>
    <row r="669" spans="1:4" x14ac:dyDescent="0.25">
      <c r="A669">
        <v>33</v>
      </c>
      <c r="B669" t="s">
        <v>124</v>
      </c>
      <c r="C669">
        <v>64.973333333333343</v>
      </c>
      <c r="D669" t="s">
        <v>134</v>
      </c>
    </row>
    <row r="670" spans="1:4" x14ac:dyDescent="0.25">
      <c r="A670">
        <v>336</v>
      </c>
      <c r="B670" t="s">
        <v>124</v>
      </c>
      <c r="C670">
        <v>21.5</v>
      </c>
      <c r="D670" t="s">
        <v>134</v>
      </c>
    </row>
    <row r="671" spans="1:4" x14ac:dyDescent="0.25">
      <c r="A671">
        <v>335</v>
      </c>
      <c r="B671" t="s">
        <v>124</v>
      </c>
      <c r="C671">
        <v>11</v>
      </c>
      <c r="D671" t="s">
        <v>134</v>
      </c>
    </row>
    <row r="672" spans="1:4" x14ac:dyDescent="0.25">
      <c r="A672">
        <v>333</v>
      </c>
      <c r="B672" t="s">
        <v>124</v>
      </c>
      <c r="C672">
        <v>14.41</v>
      </c>
      <c r="D672" t="s">
        <v>134</v>
      </c>
    </row>
    <row r="673" spans="1:4" x14ac:dyDescent="0.25">
      <c r="A673">
        <v>332</v>
      </c>
      <c r="B673" t="s">
        <v>124</v>
      </c>
      <c r="C673">
        <v>225</v>
      </c>
      <c r="D673" t="s">
        <v>134</v>
      </c>
    </row>
    <row r="674" spans="1:4" x14ac:dyDescent="0.25">
      <c r="A674">
        <v>330</v>
      </c>
      <c r="B674" t="s">
        <v>124</v>
      </c>
      <c r="C674">
        <v>10.593333333333334</v>
      </c>
      <c r="D674" t="s">
        <v>134</v>
      </c>
    </row>
    <row r="675" spans="1:4" x14ac:dyDescent="0.25">
      <c r="A675">
        <v>32</v>
      </c>
      <c r="B675" t="s">
        <v>124</v>
      </c>
      <c r="C675">
        <v>20.68</v>
      </c>
      <c r="D675" t="s">
        <v>134</v>
      </c>
    </row>
    <row r="676" spans="1:4" x14ac:dyDescent="0.25">
      <c r="A676">
        <v>327</v>
      </c>
      <c r="B676" t="s">
        <v>124</v>
      </c>
      <c r="C676">
        <v>70.323529411764696</v>
      </c>
      <c r="D676" t="s">
        <v>134</v>
      </c>
    </row>
    <row r="677" spans="1:4" x14ac:dyDescent="0.25">
      <c r="A677">
        <v>322</v>
      </c>
      <c r="B677" t="s">
        <v>124</v>
      </c>
      <c r="C677">
        <v>16.101600000000001</v>
      </c>
      <c r="D677" t="s">
        <v>134</v>
      </c>
    </row>
    <row r="678" spans="1:4" x14ac:dyDescent="0.25">
      <c r="A678">
        <v>31</v>
      </c>
      <c r="B678" t="s">
        <v>124</v>
      </c>
      <c r="C678">
        <v>118.69999999999999</v>
      </c>
      <c r="D678" t="s">
        <v>134</v>
      </c>
    </row>
    <row r="679" spans="1:4" x14ac:dyDescent="0.25">
      <c r="A679">
        <v>315</v>
      </c>
      <c r="B679" t="s">
        <v>124</v>
      </c>
      <c r="C679">
        <v>10.42</v>
      </c>
      <c r="D679" t="s">
        <v>134</v>
      </c>
    </row>
    <row r="680" spans="1:4" x14ac:dyDescent="0.25">
      <c r="A680">
        <v>311</v>
      </c>
      <c r="B680" t="s">
        <v>124</v>
      </c>
      <c r="C680">
        <v>10.17</v>
      </c>
      <c r="D680" t="s">
        <v>134</v>
      </c>
    </row>
    <row r="681" spans="1:4" x14ac:dyDescent="0.25">
      <c r="A681">
        <v>30</v>
      </c>
      <c r="B681" t="s">
        <v>124</v>
      </c>
      <c r="C681">
        <v>38</v>
      </c>
      <c r="D681" t="s">
        <v>134</v>
      </c>
    </row>
    <row r="682" spans="1:4" x14ac:dyDescent="0.25">
      <c r="A682">
        <v>303</v>
      </c>
      <c r="B682" t="s">
        <v>124</v>
      </c>
      <c r="C682">
        <v>3.39</v>
      </c>
      <c r="D682" t="s">
        <v>134</v>
      </c>
    </row>
    <row r="683" spans="1:4" x14ac:dyDescent="0.25">
      <c r="A683">
        <v>302</v>
      </c>
      <c r="B683" t="s">
        <v>124</v>
      </c>
      <c r="C683">
        <v>15.255000000000001</v>
      </c>
      <c r="D683" t="s">
        <v>134</v>
      </c>
    </row>
    <row r="684" spans="1:4" x14ac:dyDescent="0.25">
      <c r="A684">
        <v>301</v>
      </c>
      <c r="B684" t="s">
        <v>124</v>
      </c>
      <c r="C684">
        <v>26.27</v>
      </c>
      <c r="D684" t="s">
        <v>134</v>
      </c>
    </row>
    <row r="685" spans="1:4" x14ac:dyDescent="0.25">
      <c r="A685">
        <v>300</v>
      </c>
      <c r="B685" t="s">
        <v>124</v>
      </c>
      <c r="C685">
        <v>11.017818181818182</v>
      </c>
      <c r="D685" t="s">
        <v>134</v>
      </c>
    </row>
    <row r="686" spans="1:4" x14ac:dyDescent="0.25">
      <c r="A686">
        <v>2</v>
      </c>
      <c r="B686" t="s">
        <v>124</v>
      </c>
      <c r="C686">
        <v>40.344999999999999</v>
      </c>
      <c r="D686" t="s">
        <v>134</v>
      </c>
    </row>
    <row r="687" spans="1:4" x14ac:dyDescent="0.25">
      <c r="A687">
        <v>296</v>
      </c>
      <c r="B687" t="s">
        <v>124</v>
      </c>
      <c r="C687">
        <v>101.69</v>
      </c>
      <c r="D687" t="s">
        <v>134</v>
      </c>
    </row>
    <row r="688" spans="1:4" x14ac:dyDescent="0.25">
      <c r="A688">
        <v>294</v>
      </c>
      <c r="B688" t="s">
        <v>124</v>
      </c>
      <c r="C688">
        <v>93.2</v>
      </c>
      <c r="D688" t="s">
        <v>134</v>
      </c>
    </row>
    <row r="689" spans="1:4" x14ac:dyDescent="0.25">
      <c r="A689">
        <v>283</v>
      </c>
      <c r="B689" t="s">
        <v>124</v>
      </c>
      <c r="C689">
        <v>21.94</v>
      </c>
      <c r="D689" t="s">
        <v>134</v>
      </c>
    </row>
    <row r="690" spans="1:4" x14ac:dyDescent="0.25">
      <c r="A690">
        <v>281</v>
      </c>
      <c r="B690" t="s">
        <v>124</v>
      </c>
      <c r="C690">
        <v>14</v>
      </c>
      <c r="D690" t="s">
        <v>134</v>
      </c>
    </row>
    <row r="691" spans="1:4" x14ac:dyDescent="0.25">
      <c r="A691">
        <v>280</v>
      </c>
      <c r="B691" t="s">
        <v>124</v>
      </c>
      <c r="C691">
        <v>38</v>
      </c>
      <c r="D691" t="s">
        <v>134</v>
      </c>
    </row>
    <row r="692" spans="1:4" x14ac:dyDescent="0.25">
      <c r="A692">
        <v>279</v>
      </c>
      <c r="B692" t="s">
        <v>124</v>
      </c>
      <c r="C692">
        <v>27.12</v>
      </c>
      <c r="D692" t="s">
        <v>134</v>
      </c>
    </row>
    <row r="693" spans="1:4" x14ac:dyDescent="0.25">
      <c r="A693">
        <v>277</v>
      </c>
      <c r="B693" t="s">
        <v>124</v>
      </c>
      <c r="C693">
        <v>11.44</v>
      </c>
      <c r="D693" t="s">
        <v>134</v>
      </c>
    </row>
    <row r="694" spans="1:4" x14ac:dyDescent="0.25">
      <c r="A694">
        <v>271</v>
      </c>
      <c r="B694" t="s">
        <v>124</v>
      </c>
      <c r="C694">
        <v>1.3368</v>
      </c>
      <c r="D694" t="s">
        <v>134</v>
      </c>
    </row>
    <row r="695" spans="1:4" x14ac:dyDescent="0.25">
      <c r="A695">
        <v>26</v>
      </c>
      <c r="B695" t="s">
        <v>124</v>
      </c>
      <c r="C695">
        <v>80.5</v>
      </c>
      <c r="D695" t="s">
        <v>134</v>
      </c>
    </row>
    <row r="696" spans="1:4" x14ac:dyDescent="0.25">
      <c r="A696">
        <v>269</v>
      </c>
      <c r="B696" t="s">
        <v>124</v>
      </c>
      <c r="C696">
        <v>11.02</v>
      </c>
      <c r="D696" t="s">
        <v>134</v>
      </c>
    </row>
    <row r="697" spans="1:4" x14ac:dyDescent="0.25">
      <c r="A697">
        <v>265</v>
      </c>
      <c r="B697" t="s">
        <v>124</v>
      </c>
      <c r="C697">
        <v>13</v>
      </c>
      <c r="D697" t="s">
        <v>134</v>
      </c>
    </row>
    <row r="698" spans="1:4" x14ac:dyDescent="0.25">
      <c r="A698">
        <v>263</v>
      </c>
      <c r="B698" t="s">
        <v>124</v>
      </c>
      <c r="C698">
        <v>50.84</v>
      </c>
      <c r="D698" t="s">
        <v>134</v>
      </c>
    </row>
    <row r="699" spans="1:4" x14ac:dyDescent="0.25">
      <c r="A699">
        <v>258</v>
      </c>
      <c r="B699" t="s">
        <v>124</v>
      </c>
      <c r="C699">
        <v>45.76</v>
      </c>
      <c r="D699" t="s">
        <v>134</v>
      </c>
    </row>
    <row r="700" spans="1:4" x14ac:dyDescent="0.25">
      <c r="A700">
        <v>257</v>
      </c>
      <c r="B700" t="s">
        <v>124</v>
      </c>
      <c r="C700">
        <v>17.8</v>
      </c>
      <c r="D700" t="s">
        <v>134</v>
      </c>
    </row>
    <row r="701" spans="1:4" x14ac:dyDescent="0.25">
      <c r="A701">
        <v>255</v>
      </c>
      <c r="B701" t="s">
        <v>124</v>
      </c>
      <c r="C701">
        <v>42.000000000000007</v>
      </c>
      <c r="D701" t="s">
        <v>134</v>
      </c>
    </row>
    <row r="702" spans="1:4" x14ac:dyDescent="0.25">
      <c r="A702">
        <v>254</v>
      </c>
      <c r="B702" t="s">
        <v>124</v>
      </c>
      <c r="C702">
        <v>46.615384615384613</v>
      </c>
      <c r="D702" t="s">
        <v>134</v>
      </c>
    </row>
    <row r="703" spans="1:4" x14ac:dyDescent="0.25">
      <c r="A703">
        <v>253</v>
      </c>
      <c r="B703" t="s">
        <v>124</v>
      </c>
      <c r="C703">
        <v>32.205714285714286</v>
      </c>
      <c r="D703" t="s">
        <v>134</v>
      </c>
    </row>
    <row r="704" spans="1:4" x14ac:dyDescent="0.25">
      <c r="A704">
        <v>252</v>
      </c>
      <c r="B704" t="s">
        <v>124</v>
      </c>
      <c r="C704">
        <v>42</v>
      </c>
      <c r="D704" t="s">
        <v>134</v>
      </c>
    </row>
    <row r="705" spans="1:4" x14ac:dyDescent="0.25">
      <c r="A705">
        <v>24</v>
      </c>
      <c r="B705" t="s">
        <v>124</v>
      </c>
      <c r="C705">
        <v>18</v>
      </c>
      <c r="D705" t="s">
        <v>134</v>
      </c>
    </row>
    <row r="706" spans="1:4" x14ac:dyDescent="0.25">
      <c r="A706">
        <v>247</v>
      </c>
      <c r="B706" t="s">
        <v>124</v>
      </c>
      <c r="C706">
        <v>31.483333333333334</v>
      </c>
      <c r="D706" t="s">
        <v>134</v>
      </c>
    </row>
    <row r="707" spans="1:4" x14ac:dyDescent="0.25">
      <c r="A707">
        <v>245</v>
      </c>
      <c r="B707" t="s">
        <v>124</v>
      </c>
      <c r="C707">
        <v>115.25</v>
      </c>
      <c r="D707" t="s">
        <v>134</v>
      </c>
    </row>
    <row r="708" spans="1:4" x14ac:dyDescent="0.25">
      <c r="A708">
        <v>244</v>
      </c>
      <c r="B708" t="s">
        <v>124</v>
      </c>
      <c r="C708">
        <v>47.45945945945946</v>
      </c>
      <c r="D708" t="s">
        <v>134</v>
      </c>
    </row>
    <row r="709" spans="1:4" x14ac:dyDescent="0.25">
      <c r="A709">
        <v>243</v>
      </c>
      <c r="B709" t="s">
        <v>124</v>
      </c>
      <c r="C709">
        <v>35.594999999999999</v>
      </c>
      <c r="D709" t="s">
        <v>134</v>
      </c>
    </row>
    <row r="710" spans="1:4" x14ac:dyDescent="0.25">
      <c r="A710">
        <v>241</v>
      </c>
      <c r="B710" t="s">
        <v>124</v>
      </c>
      <c r="C710">
        <v>161.01874999999998</v>
      </c>
      <c r="D710" t="s">
        <v>134</v>
      </c>
    </row>
    <row r="711" spans="1:4" x14ac:dyDescent="0.25">
      <c r="A711">
        <v>23</v>
      </c>
      <c r="B711" t="s">
        <v>124</v>
      </c>
      <c r="C711">
        <v>15</v>
      </c>
      <c r="D711" t="s">
        <v>134</v>
      </c>
    </row>
    <row r="712" spans="1:4" x14ac:dyDescent="0.25">
      <c r="A712">
        <v>239</v>
      </c>
      <c r="B712" t="s">
        <v>124</v>
      </c>
      <c r="C712">
        <v>423.72</v>
      </c>
      <c r="D712" t="s">
        <v>134</v>
      </c>
    </row>
    <row r="713" spans="1:4" x14ac:dyDescent="0.25">
      <c r="A713">
        <v>2361</v>
      </c>
      <c r="B713" t="s">
        <v>124</v>
      </c>
      <c r="C713">
        <v>3.6967428571428571</v>
      </c>
      <c r="D713" t="s">
        <v>134</v>
      </c>
    </row>
    <row r="714" spans="1:4" x14ac:dyDescent="0.25">
      <c r="A714">
        <v>2361</v>
      </c>
      <c r="B714" t="s">
        <v>124</v>
      </c>
      <c r="C714">
        <v>4</v>
      </c>
      <c r="D714" t="s">
        <v>134</v>
      </c>
    </row>
    <row r="715" spans="1:4" x14ac:dyDescent="0.25">
      <c r="A715">
        <v>235</v>
      </c>
      <c r="B715" t="s">
        <v>124</v>
      </c>
      <c r="C715">
        <v>35</v>
      </c>
      <c r="D715" t="s">
        <v>134</v>
      </c>
    </row>
    <row r="716" spans="1:4" x14ac:dyDescent="0.25">
      <c r="A716">
        <v>234</v>
      </c>
      <c r="B716" t="s">
        <v>124</v>
      </c>
      <c r="C716">
        <v>38.042999999999999</v>
      </c>
      <c r="D716" t="s">
        <v>134</v>
      </c>
    </row>
    <row r="717" spans="1:4" x14ac:dyDescent="0.25">
      <c r="A717">
        <v>234</v>
      </c>
      <c r="B717" t="s">
        <v>124</v>
      </c>
      <c r="C717">
        <v>35</v>
      </c>
      <c r="D717" t="s">
        <v>134</v>
      </c>
    </row>
    <row r="718" spans="1:4" x14ac:dyDescent="0.25">
      <c r="A718">
        <v>22</v>
      </c>
      <c r="B718" t="s">
        <v>124</v>
      </c>
      <c r="C718">
        <v>14.95294117647059</v>
      </c>
      <c r="D718" t="s">
        <v>134</v>
      </c>
    </row>
    <row r="719" spans="1:4" x14ac:dyDescent="0.25">
      <c r="A719">
        <v>225</v>
      </c>
      <c r="B719" t="s">
        <v>124</v>
      </c>
      <c r="C719">
        <v>69</v>
      </c>
      <c r="D719" t="s">
        <v>134</v>
      </c>
    </row>
    <row r="720" spans="1:4" x14ac:dyDescent="0.25">
      <c r="A720">
        <v>222</v>
      </c>
      <c r="B720" t="s">
        <v>124</v>
      </c>
      <c r="C720">
        <v>23.28</v>
      </c>
      <c r="D720" t="s">
        <v>134</v>
      </c>
    </row>
    <row r="721" spans="1:4" x14ac:dyDescent="0.25">
      <c r="A721">
        <v>220</v>
      </c>
      <c r="B721" t="s">
        <v>124</v>
      </c>
      <c r="C721">
        <v>0.77799999999999991</v>
      </c>
      <c r="D721" t="s">
        <v>134</v>
      </c>
    </row>
    <row r="722" spans="1:4" x14ac:dyDescent="0.25">
      <c r="A722">
        <v>220</v>
      </c>
      <c r="B722" t="s">
        <v>124</v>
      </c>
      <c r="C722">
        <v>20.589285714285712</v>
      </c>
      <c r="D722" t="s">
        <v>134</v>
      </c>
    </row>
    <row r="723" spans="1:4" x14ac:dyDescent="0.25">
      <c r="A723">
        <v>215</v>
      </c>
      <c r="B723" t="s">
        <v>124</v>
      </c>
      <c r="C723">
        <v>6.78</v>
      </c>
      <c r="D723" t="s">
        <v>134</v>
      </c>
    </row>
    <row r="724" spans="1:4" x14ac:dyDescent="0.25">
      <c r="A724">
        <v>210</v>
      </c>
      <c r="B724" t="s">
        <v>124</v>
      </c>
      <c r="C724">
        <v>63.6</v>
      </c>
      <c r="D724" t="s">
        <v>134</v>
      </c>
    </row>
    <row r="725" spans="1:4" x14ac:dyDescent="0.25">
      <c r="A725">
        <v>209</v>
      </c>
      <c r="B725" t="s">
        <v>124</v>
      </c>
      <c r="C725">
        <v>164.19753086419755</v>
      </c>
      <c r="D725" t="s">
        <v>134</v>
      </c>
    </row>
    <row r="726" spans="1:4" x14ac:dyDescent="0.25">
      <c r="A726">
        <v>205</v>
      </c>
      <c r="B726" t="s">
        <v>124</v>
      </c>
      <c r="C726">
        <v>7.97</v>
      </c>
      <c r="D726" t="s">
        <v>134</v>
      </c>
    </row>
    <row r="727" spans="1:4" x14ac:dyDescent="0.25">
      <c r="A727">
        <v>204</v>
      </c>
      <c r="B727" t="s">
        <v>124</v>
      </c>
      <c r="C727">
        <v>8.06</v>
      </c>
      <c r="D727" t="s">
        <v>134</v>
      </c>
    </row>
    <row r="728" spans="1:4" x14ac:dyDescent="0.25">
      <c r="A728">
        <v>202</v>
      </c>
      <c r="B728" t="s">
        <v>124</v>
      </c>
      <c r="C728">
        <v>3.7179000000000002</v>
      </c>
      <c r="D728" t="s">
        <v>134</v>
      </c>
    </row>
    <row r="729" spans="1:4" x14ac:dyDescent="0.25">
      <c r="A729">
        <v>202</v>
      </c>
      <c r="B729" t="s">
        <v>124</v>
      </c>
      <c r="C729">
        <v>37.29</v>
      </c>
      <c r="D729" t="s">
        <v>134</v>
      </c>
    </row>
    <row r="730" spans="1:4" x14ac:dyDescent="0.25">
      <c r="A730">
        <v>1</v>
      </c>
      <c r="B730" t="s">
        <v>124</v>
      </c>
      <c r="C730">
        <v>3.3200000000000003</v>
      </c>
      <c r="D730" t="s">
        <v>134</v>
      </c>
    </row>
    <row r="731" spans="1:4" x14ac:dyDescent="0.25">
      <c r="A731">
        <v>199</v>
      </c>
      <c r="B731" t="s">
        <v>124</v>
      </c>
      <c r="C731">
        <v>22.88</v>
      </c>
      <c r="D731" t="s">
        <v>134</v>
      </c>
    </row>
    <row r="732" spans="1:4" x14ac:dyDescent="0.25">
      <c r="A732">
        <v>196</v>
      </c>
      <c r="B732" t="s">
        <v>124</v>
      </c>
      <c r="C732">
        <v>33.51</v>
      </c>
      <c r="D732" t="s">
        <v>134</v>
      </c>
    </row>
    <row r="733" spans="1:4" x14ac:dyDescent="0.25">
      <c r="A733">
        <v>195</v>
      </c>
      <c r="B733" t="s">
        <v>124</v>
      </c>
      <c r="C733">
        <v>15.08</v>
      </c>
      <c r="D733" t="s">
        <v>134</v>
      </c>
    </row>
    <row r="734" spans="1:4" x14ac:dyDescent="0.25">
      <c r="A734">
        <v>194</v>
      </c>
      <c r="B734" t="s">
        <v>124</v>
      </c>
      <c r="C734">
        <v>11.957894736842105</v>
      </c>
      <c r="D734" t="s">
        <v>134</v>
      </c>
    </row>
    <row r="735" spans="1:4" x14ac:dyDescent="0.25">
      <c r="A735">
        <v>192</v>
      </c>
      <c r="B735" t="s">
        <v>124</v>
      </c>
      <c r="C735">
        <v>50.85</v>
      </c>
      <c r="D735" t="s">
        <v>134</v>
      </c>
    </row>
    <row r="736" spans="1:4" x14ac:dyDescent="0.25">
      <c r="A736">
        <v>191</v>
      </c>
      <c r="B736" t="s">
        <v>124</v>
      </c>
      <c r="C736">
        <v>69.489999999999995</v>
      </c>
      <c r="D736" t="s">
        <v>134</v>
      </c>
    </row>
    <row r="737" spans="1:4" x14ac:dyDescent="0.25">
      <c r="A737">
        <v>1881</v>
      </c>
      <c r="B737" t="s">
        <v>125</v>
      </c>
      <c r="C737">
        <v>46.61</v>
      </c>
      <c r="D737" t="s">
        <v>134</v>
      </c>
    </row>
    <row r="738" spans="1:4" x14ac:dyDescent="0.25">
      <c r="A738">
        <v>186</v>
      </c>
      <c r="B738" t="s">
        <v>124</v>
      </c>
      <c r="C738">
        <v>9.0373000000000001</v>
      </c>
      <c r="D738" t="s">
        <v>134</v>
      </c>
    </row>
    <row r="739" spans="1:4" x14ac:dyDescent="0.25">
      <c r="A739">
        <v>186</v>
      </c>
      <c r="B739" t="s">
        <v>124</v>
      </c>
      <c r="C739">
        <v>40.262706480304956</v>
      </c>
      <c r="D739" t="s">
        <v>134</v>
      </c>
    </row>
    <row r="740" spans="1:4" x14ac:dyDescent="0.25">
      <c r="A740">
        <v>1861</v>
      </c>
      <c r="B740" t="s">
        <v>125</v>
      </c>
      <c r="C740">
        <v>6.6950000000000003</v>
      </c>
      <c r="D740" t="s">
        <v>134</v>
      </c>
    </row>
    <row r="741" spans="1:4" x14ac:dyDescent="0.25">
      <c r="A741">
        <v>1858</v>
      </c>
      <c r="B741" t="s">
        <v>125</v>
      </c>
      <c r="C741">
        <v>4.152222222222222</v>
      </c>
      <c r="D741" t="s">
        <v>134</v>
      </c>
    </row>
    <row r="742" spans="1:4" x14ac:dyDescent="0.25">
      <c r="A742">
        <v>1856</v>
      </c>
      <c r="B742" t="s">
        <v>125</v>
      </c>
      <c r="C742">
        <v>2.1179999999999999</v>
      </c>
      <c r="D742" t="s">
        <v>134</v>
      </c>
    </row>
    <row r="743" spans="1:4" x14ac:dyDescent="0.25">
      <c r="A743">
        <v>1855</v>
      </c>
      <c r="B743" t="s">
        <v>125</v>
      </c>
      <c r="C743">
        <v>2.5425</v>
      </c>
      <c r="D743" t="s">
        <v>134</v>
      </c>
    </row>
    <row r="744" spans="1:4" x14ac:dyDescent="0.25">
      <c r="A744">
        <v>1854</v>
      </c>
      <c r="B744" t="s">
        <v>125</v>
      </c>
      <c r="C744">
        <v>3.5</v>
      </c>
      <c r="D744" t="s">
        <v>134</v>
      </c>
    </row>
    <row r="745" spans="1:4" x14ac:dyDescent="0.25">
      <c r="A745">
        <v>1852</v>
      </c>
      <c r="B745" t="s">
        <v>125</v>
      </c>
      <c r="C745">
        <v>0.67888888888888888</v>
      </c>
      <c r="D745" t="s">
        <v>134</v>
      </c>
    </row>
    <row r="746" spans="1:4" x14ac:dyDescent="0.25">
      <c r="A746">
        <v>1851</v>
      </c>
      <c r="B746" t="s">
        <v>125</v>
      </c>
      <c r="C746">
        <v>3.3050000000000002</v>
      </c>
      <c r="D746" t="s">
        <v>134</v>
      </c>
    </row>
    <row r="747" spans="1:4" x14ac:dyDescent="0.25">
      <c r="A747">
        <v>1850</v>
      </c>
      <c r="B747" t="s">
        <v>125</v>
      </c>
      <c r="C747">
        <v>4.1500000000000004</v>
      </c>
      <c r="D747" t="s">
        <v>134</v>
      </c>
    </row>
    <row r="748" spans="1:4" x14ac:dyDescent="0.25">
      <c r="A748">
        <v>1847</v>
      </c>
      <c r="B748" t="s">
        <v>125</v>
      </c>
      <c r="C748">
        <v>6.6950000000000003</v>
      </c>
      <c r="D748" t="s">
        <v>134</v>
      </c>
    </row>
    <row r="749" spans="1:4" x14ac:dyDescent="0.25">
      <c r="A749">
        <v>1846</v>
      </c>
      <c r="B749" t="s">
        <v>125</v>
      </c>
      <c r="C749">
        <v>6.6950000000000003</v>
      </c>
      <c r="D749" t="s">
        <v>134</v>
      </c>
    </row>
    <row r="750" spans="1:4" x14ac:dyDescent="0.25">
      <c r="A750">
        <v>1842</v>
      </c>
      <c r="B750" t="s">
        <v>125</v>
      </c>
      <c r="C750">
        <v>4.1500000000000004</v>
      </c>
      <c r="D750" t="s">
        <v>134</v>
      </c>
    </row>
    <row r="751" spans="1:4" x14ac:dyDescent="0.25">
      <c r="A751">
        <v>1841</v>
      </c>
      <c r="B751" t="s">
        <v>125</v>
      </c>
      <c r="C751">
        <v>4.1520000000000001</v>
      </c>
      <c r="D751" t="s">
        <v>134</v>
      </c>
    </row>
    <row r="752" spans="1:4" x14ac:dyDescent="0.25">
      <c r="A752">
        <v>1840</v>
      </c>
      <c r="B752" t="s">
        <v>125</v>
      </c>
      <c r="C752">
        <v>2.97</v>
      </c>
      <c r="D752" t="s">
        <v>134</v>
      </c>
    </row>
    <row r="753" spans="1:4" x14ac:dyDescent="0.25">
      <c r="A753">
        <v>1835</v>
      </c>
      <c r="B753" t="s">
        <v>125</v>
      </c>
      <c r="C753">
        <v>5.85</v>
      </c>
      <c r="D753" t="s">
        <v>134</v>
      </c>
    </row>
    <row r="754" spans="1:4" x14ac:dyDescent="0.25">
      <c r="A754">
        <v>1831</v>
      </c>
      <c r="B754" t="s">
        <v>125</v>
      </c>
      <c r="C754">
        <v>3.31</v>
      </c>
      <c r="D754" t="s">
        <v>134</v>
      </c>
    </row>
    <row r="755" spans="1:4" x14ac:dyDescent="0.25">
      <c r="A755">
        <v>1830</v>
      </c>
      <c r="B755" t="s">
        <v>125</v>
      </c>
      <c r="C755">
        <v>28.39</v>
      </c>
      <c r="D755" t="s">
        <v>134</v>
      </c>
    </row>
    <row r="756" spans="1:4" x14ac:dyDescent="0.25">
      <c r="A756">
        <v>1829</v>
      </c>
      <c r="B756" t="s">
        <v>125</v>
      </c>
      <c r="C756">
        <v>12.63</v>
      </c>
      <c r="D756" t="s">
        <v>134</v>
      </c>
    </row>
    <row r="757" spans="1:4" x14ac:dyDescent="0.25">
      <c r="A757">
        <v>1828</v>
      </c>
      <c r="B757" t="s">
        <v>125</v>
      </c>
      <c r="C757">
        <v>4.1500000000000004</v>
      </c>
      <c r="D757" t="s">
        <v>134</v>
      </c>
    </row>
    <row r="758" spans="1:4" x14ac:dyDescent="0.25">
      <c r="A758">
        <v>1825</v>
      </c>
      <c r="B758" t="s">
        <v>125</v>
      </c>
      <c r="C758">
        <v>3.31</v>
      </c>
      <c r="D758" t="s">
        <v>134</v>
      </c>
    </row>
    <row r="759" spans="1:4" x14ac:dyDescent="0.25">
      <c r="A759">
        <v>1823</v>
      </c>
      <c r="B759" t="s">
        <v>125</v>
      </c>
      <c r="C759">
        <v>1.27</v>
      </c>
      <c r="D759" t="s">
        <v>134</v>
      </c>
    </row>
    <row r="760" spans="1:4" x14ac:dyDescent="0.25">
      <c r="A760">
        <v>1821</v>
      </c>
      <c r="B760" t="s">
        <v>125</v>
      </c>
      <c r="C760">
        <v>3.31</v>
      </c>
      <c r="D760" t="s">
        <v>134</v>
      </c>
    </row>
    <row r="761" spans="1:4" x14ac:dyDescent="0.25">
      <c r="A761">
        <v>181</v>
      </c>
      <c r="B761" t="s">
        <v>124</v>
      </c>
      <c r="C761">
        <v>8.3049999999999997</v>
      </c>
      <c r="D761" t="s">
        <v>134</v>
      </c>
    </row>
    <row r="762" spans="1:4" x14ac:dyDescent="0.25">
      <c r="A762">
        <v>1819</v>
      </c>
      <c r="B762" t="s">
        <v>125</v>
      </c>
      <c r="C762">
        <v>6.6950000000000003</v>
      </c>
      <c r="D762" t="s">
        <v>134</v>
      </c>
    </row>
    <row r="763" spans="1:4" x14ac:dyDescent="0.25">
      <c r="A763">
        <v>1818</v>
      </c>
      <c r="B763" t="s">
        <v>125</v>
      </c>
      <c r="C763">
        <v>5.8449999999999998</v>
      </c>
      <c r="D763" t="s">
        <v>134</v>
      </c>
    </row>
    <row r="764" spans="1:4" x14ac:dyDescent="0.25">
      <c r="A764">
        <v>1817</v>
      </c>
      <c r="B764" t="s">
        <v>125</v>
      </c>
      <c r="C764">
        <v>6.6933333333333325</v>
      </c>
      <c r="D764" t="s">
        <v>134</v>
      </c>
    </row>
    <row r="765" spans="1:4" x14ac:dyDescent="0.25">
      <c r="A765">
        <v>1815</v>
      </c>
      <c r="B765" t="s">
        <v>125</v>
      </c>
      <c r="C765">
        <v>0.85</v>
      </c>
      <c r="D765" t="s">
        <v>134</v>
      </c>
    </row>
    <row r="766" spans="1:4" x14ac:dyDescent="0.25">
      <c r="A766">
        <v>1810</v>
      </c>
      <c r="B766" t="s">
        <v>28</v>
      </c>
      <c r="C766">
        <v>0.83</v>
      </c>
      <c r="D766" t="s">
        <v>134</v>
      </c>
    </row>
    <row r="767" spans="1:4" x14ac:dyDescent="0.25">
      <c r="A767">
        <v>180</v>
      </c>
      <c r="B767" t="s">
        <v>124</v>
      </c>
      <c r="C767">
        <v>14.92</v>
      </c>
      <c r="D767" t="s">
        <v>134</v>
      </c>
    </row>
    <row r="768" spans="1:4" x14ac:dyDescent="0.25">
      <c r="A768">
        <v>1804</v>
      </c>
      <c r="B768" t="s">
        <v>125</v>
      </c>
      <c r="C768">
        <v>0.33892</v>
      </c>
      <c r="D768" t="s">
        <v>134</v>
      </c>
    </row>
    <row r="769" spans="1:4" x14ac:dyDescent="0.25">
      <c r="A769">
        <v>1802</v>
      </c>
      <c r="B769" t="s">
        <v>125</v>
      </c>
      <c r="C769">
        <v>2.54</v>
      </c>
      <c r="D769" t="s">
        <v>134</v>
      </c>
    </row>
    <row r="770" spans="1:4" x14ac:dyDescent="0.25">
      <c r="A770">
        <v>1801</v>
      </c>
      <c r="B770" t="s">
        <v>125</v>
      </c>
      <c r="C770">
        <v>31.36</v>
      </c>
      <c r="D770" t="s">
        <v>134</v>
      </c>
    </row>
    <row r="771" spans="1:4" x14ac:dyDescent="0.25">
      <c r="A771">
        <v>1800</v>
      </c>
      <c r="B771" t="s">
        <v>125</v>
      </c>
      <c r="C771">
        <v>4.6619999999999999</v>
      </c>
      <c r="D771" t="s">
        <v>134</v>
      </c>
    </row>
    <row r="772" spans="1:4" x14ac:dyDescent="0.25">
      <c r="A772">
        <v>179</v>
      </c>
      <c r="B772" t="s">
        <v>124</v>
      </c>
      <c r="C772">
        <v>13.56</v>
      </c>
      <c r="D772" t="s">
        <v>134</v>
      </c>
    </row>
    <row r="773" spans="1:4" x14ac:dyDescent="0.25">
      <c r="A773">
        <v>1797</v>
      </c>
      <c r="B773" t="s">
        <v>125</v>
      </c>
      <c r="C773">
        <v>4.66</v>
      </c>
      <c r="D773" t="s">
        <v>134</v>
      </c>
    </row>
    <row r="774" spans="1:4" x14ac:dyDescent="0.25">
      <c r="A774">
        <v>1793</v>
      </c>
      <c r="B774" t="s">
        <v>125</v>
      </c>
      <c r="C774">
        <v>13.98</v>
      </c>
      <c r="D774" t="s">
        <v>134</v>
      </c>
    </row>
    <row r="775" spans="1:4" x14ac:dyDescent="0.25">
      <c r="A775">
        <v>1788</v>
      </c>
      <c r="B775" t="s">
        <v>125</v>
      </c>
      <c r="C775">
        <v>16.95</v>
      </c>
      <c r="D775" t="s">
        <v>134</v>
      </c>
    </row>
    <row r="776" spans="1:4" x14ac:dyDescent="0.25">
      <c r="A776">
        <v>1785</v>
      </c>
      <c r="B776" t="s">
        <v>28</v>
      </c>
      <c r="C776">
        <v>13.57</v>
      </c>
      <c r="D776" t="s">
        <v>134</v>
      </c>
    </row>
    <row r="777" spans="1:4" x14ac:dyDescent="0.25">
      <c r="A777">
        <v>173</v>
      </c>
      <c r="B777" t="s">
        <v>124</v>
      </c>
      <c r="C777">
        <v>13</v>
      </c>
      <c r="D777" t="s">
        <v>134</v>
      </c>
    </row>
    <row r="778" spans="1:4" x14ac:dyDescent="0.25">
      <c r="A778">
        <v>1715</v>
      </c>
      <c r="B778" t="s">
        <v>124</v>
      </c>
      <c r="C778">
        <v>23.729629629629624</v>
      </c>
      <c r="D778" t="s">
        <v>134</v>
      </c>
    </row>
    <row r="779" spans="1:4" x14ac:dyDescent="0.25">
      <c r="A779">
        <v>170</v>
      </c>
      <c r="B779" t="s">
        <v>124</v>
      </c>
      <c r="C779">
        <v>10.16</v>
      </c>
      <c r="D779" t="s">
        <v>134</v>
      </c>
    </row>
    <row r="780" spans="1:4" x14ac:dyDescent="0.25">
      <c r="A780">
        <v>169</v>
      </c>
      <c r="B780" t="s">
        <v>124</v>
      </c>
      <c r="C780">
        <v>8.5</v>
      </c>
      <c r="D780" t="s">
        <v>134</v>
      </c>
    </row>
    <row r="781" spans="1:4" x14ac:dyDescent="0.25">
      <c r="A781">
        <v>167</v>
      </c>
      <c r="B781" t="s">
        <v>124</v>
      </c>
      <c r="C781">
        <v>4.5918749999999999</v>
      </c>
      <c r="D781" t="s">
        <v>134</v>
      </c>
    </row>
    <row r="782" spans="1:4" x14ac:dyDescent="0.25">
      <c r="A782">
        <v>162</v>
      </c>
      <c r="B782" t="s">
        <v>124</v>
      </c>
      <c r="C782">
        <v>101.69999999999999</v>
      </c>
      <c r="D782" t="s">
        <v>134</v>
      </c>
    </row>
    <row r="783" spans="1:4" x14ac:dyDescent="0.25">
      <c r="A783">
        <v>157</v>
      </c>
      <c r="B783" t="s">
        <v>124</v>
      </c>
      <c r="C783">
        <v>35.255000000000003</v>
      </c>
      <c r="D783" t="s">
        <v>134</v>
      </c>
    </row>
    <row r="784" spans="1:4" x14ac:dyDescent="0.25">
      <c r="A784">
        <v>151</v>
      </c>
      <c r="B784" t="s">
        <v>124</v>
      </c>
      <c r="C784">
        <v>6.6949450549450553</v>
      </c>
      <c r="D784" t="s">
        <v>134</v>
      </c>
    </row>
    <row r="785" spans="1:4" x14ac:dyDescent="0.25">
      <c r="A785">
        <v>150</v>
      </c>
      <c r="B785" t="s">
        <v>124</v>
      </c>
      <c r="C785">
        <v>17.372499999999999</v>
      </c>
      <c r="D785" t="s">
        <v>134</v>
      </c>
    </row>
    <row r="786" spans="1:4" x14ac:dyDescent="0.25">
      <c r="A786">
        <v>14365</v>
      </c>
      <c r="B786" t="s">
        <v>125</v>
      </c>
      <c r="C786">
        <v>32.200000000000003</v>
      </c>
      <c r="D786" t="s">
        <v>134</v>
      </c>
    </row>
    <row r="787" spans="1:4" x14ac:dyDescent="0.25">
      <c r="A787">
        <v>14364</v>
      </c>
      <c r="B787" t="s">
        <v>125</v>
      </c>
      <c r="C787">
        <v>21.19</v>
      </c>
      <c r="D787" t="s">
        <v>134</v>
      </c>
    </row>
    <row r="788" spans="1:4" x14ac:dyDescent="0.25">
      <c r="A788">
        <v>14363</v>
      </c>
      <c r="B788" t="s">
        <v>125</v>
      </c>
      <c r="C788">
        <v>57.63</v>
      </c>
      <c r="D788" t="s">
        <v>134</v>
      </c>
    </row>
    <row r="789" spans="1:4" x14ac:dyDescent="0.25">
      <c r="A789">
        <v>14362</v>
      </c>
      <c r="B789" t="s">
        <v>28</v>
      </c>
      <c r="C789">
        <v>11.86</v>
      </c>
      <c r="D789" t="s">
        <v>134</v>
      </c>
    </row>
    <row r="790" spans="1:4" x14ac:dyDescent="0.25">
      <c r="A790">
        <v>14361</v>
      </c>
      <c r="B790" t="s">
        <v>28</v>
      </c>
      <c r="C790">
        <v>5.08</v>
      </c>
      <c r="D790" t="s">
        <v>134</v>
      </c>
    </row>
    <row r="791" spans="1:4" x14ac:dyDescent="0.25">
      <c r="A791">
        <v>14360</v>
      </c>
      <c r="B791" t="s">
        <v>28</v>
      </c>
      <c r="C791">
        <v>17.899999999999999</v>
      </c>
      <c r="D791" t="s">
        <v>134</v>
      </c>
    </row>
    <row r="792" spans="1:4" x14ac:dyDescent="0.25">
      <c r="A792">
        <v>14359</v>
      </c>
      <c r="B792" t="s">
        <v>28</v>
      </c>
      <c r="C792">
        <v>16.95</v>
      </c>
      <c r="D792" t="s">
        <v>134</v>
      </c>
    </row>
    <row r="793" spans="1:4" x14ac:dyDescent="0.25">
      <c r="A793">
        <v>14358</v>
      </c>
      <c r="B793" t="s">
        <v>125</v>
      </c>
      <c r="C793">
        <v>0.77999999999999992</v>
      </c>
      <c r="D793" t="s">
        <v>134</v>
      </c>
    </row>
    <row r="794" spans="1:4" x14ac:dyDescent="0.25">
      <c r="A794">
        <v>14352</v>
      </c>
      <c r="B794" t="s">
        <v>124</v>
      </c>
      <c r="C794">
        <v>15.25</v>
      </c>
      <c r="D794" t="s">
        <v>134</v>
      </c>
    </row>
    <row r="795" spans="1:4" x14ac:dyDescent="0.25">
      <c r="A795">
        <v>14351</v>
      </c>
      <c r="B795" t="s">
        <v>125</v>
      </c>
      <c r="C795">
        <v>48.342500000000001</v>
      </c>
      <c r="D795" t="s">
        <v>134</v>
      </c>
    </row>
    <row r="796" spans="1:4" x14ac:dyDescent="0.25">
      <c r="A796">
        <v>14350</v>
      </c>
      <c r="B796" t="s">
        <v>28</v>
      </c>
      <c r="C796">
        <v>0.57619999999999993</v>
      </c>
      <c r="D796" t="s">
        <v>134</v>
      </c>
    </row>
    <row r="797" spans="1:4" x14ac:dyDescent="0.25">
      <c r="A797">
        <v>14349</v>
      </c>
      <c r="B797" t="s">
        <v>125</v>
      </c>
      <c r="C797">
        <v>22.60166666666667</v>
      </c>
      <c r="D797" t="s">
        <v>134</v>
      </c>
    </row>
    <row r="798" spans="1:4" x14ac:dyDescent="0.25">
      <c r="A798">
        <v>14348</v>
      </c>
      <c r="B798" t="s">
        <v>124</v>
      </c>
      <c r="C798">
        <v>0.76500000000000001</v>
      </c>
      <c r="D798" t="s">
        <v>134</v>
      </c>
    </row>
    <row r="799" spans="1:4" x14ac:dyDescent="0.25">
      <c r="A799">
        <v>14344</v>
      </c>
      <c r="B799" t="s">
        <v>124</v>
      </c>
      <c r="C799">
        <v>54.543399999999998</v>
      </c>
      <c r="D799" t="s">
        <v>134</v>
      </c>
    </row>
    <row r="800" spans="1:4" x14ac:dyDescent="0.25">
      <c r="A800">
        <v>14279</v>
      </c>
      <c r="B800" t="s">
        <v>124</v>
      </c>
      <c r="C800">
        <v>5.6300999999999997</v>
      </c>
      <c r="D800" t="s">
        <v>134</v>
      </c>
    </row>
    <row r="801" spans="1:4" x14ac:dyDescent="0.25">
      <c r="A801">
        <v>14276</v>
      </c>
      <c r="B801" t="s">
        <v>124</v>
      </c>
      <c r="C801">
        <v>0.59</v>
      </c>
      <c r="D801" t="s">
        <v>134</v>
      </c>
    </row>
    <row r="802" spans="1:4" x14ac:dyDescent="0.25">
      <c r="A802">
        <v>14275</v>
      </c>
      <c r="B802" t="s">
        <v>124</v>
      </c>
      <c r="C802">
        <v>15.149388461538461</v>
      </c>
      <c r="D802" t="s">
        <v>134</v>
      </c>
    </row>
    <row r="803" spans="1:4" x14ac:dyDescent="0.25">
      <c r="A803">
        <v>14274</v>
      </c>
      <c r="B803" t="s">
        <v>124</v>
      </c>
      <c r="C803">
        <v>4.7208333333333332</v>
      </c>
      <c r="D803" t="s">
        <v>134</v>
      </c>
    </row>
    <row r="804" spans="1:4" x14ac:dyDescent="0.25">
      <c r="A804">
        <v>14273</v>
      </c>
      <c r="B804" t="s">
        <v>124</v>
      </c>
      <c r="C804">
        <v>5.871666666666667</v>
      </c>
      <c r="D804" t="s">
        <v>134</v>
      </c>
    </row>
    <row r="805" spans="1:4" x14ac:dyDescent="0.25">
      <c r="A805">
        <v>14272</v>
      </c>
      <c r="B805" t="s">
        <v>124</v>
      </c>
      <c r="C805">
        <v>14.080327868852459</v>
      </c>
      <c r="D805" t="s">
        <v>134</v>
      </c>
    </row>
    <row r="806" spans="1:4" x14ac:dyDescent="0.25">
      <c r="A806">
        <v>14270</v>
      </c>
      <c r="B806" t="s">
        <v>125</v>
      </c>
      <c r="C806">
        <v>2.3727999999999998</v>
      </c>
      <c r="D806" t="s">
        <v>134</v>
      </c>
    </row>
    <row r="807" spans="1:4" x14ac:dyDescent="0.25">
      <c r="A807">
        <v>14269</v>
      </c>
      <c r="B807" t="s">
        <v>125</v>
      </c>
      <c r="C807">
        <v>1.4406000000000001</v>
      </c>
      <c r="D807" t="s">
        <v>134</v>
      </c>
    </row>
    <row r="808" spans="1:4" x14ac:dyDescent="0.25">
      <c r="A808">
        <v>14229</v>
      </c>
      <c r="B808" t="s">
        <v>28</v>
      </c>
      <c r="C808">
        <v>0.54149999999999998</v>
      </c>
      <c r="D808" t="s">
        <v>134</v>
      </c>
    </row>
    <row r="809" spans="1:4" x14ac:dyDescent="0.25">
      <c r="A809">
        <v>14225</v>
      </c>
      <c r="B809" t="s">
        <v>124</v>
      </c>
      <c r="C809">
        <v>3.45</v>
      </c>
      <c r="D809" t="s">
        <v>134</v>
      </c>
    </row>
    <row r="810" spans="1:4" x14ac:dyDescent="0.25">
      <c r="A810">
        <v>14222</v>
      </c>
      <c r="B810" t="s">
        <v>124</v>
      </c>
      <c r="C810">
        <v>1.7417499999999999</v>
      </c>
      <c r="D810" t="s">
        <v>134</v>
      </c>
    </row>
    <row r="811" spans="1:4" x14ac:dyDescent="0.25">
      <c r="A811">
        <v>14221</v>
      </c>
      <c r="B811" t="s">
        <v>124</v>
      </c>
      <c r="C811">
        <v>23.34</v>
      </c>
      <c r="D811" t="s">
        <v>134</v>
      </c>
    </row>
    <row r="812" spans="1:4" x14ac:dyDescent="0.25">
      <c r="A812">
        <v>14220</v>
      </c>
      <c r="B812" t="s">
        <v>124</v>
      </c>
      <c r="C812">
        <v>21.330000000000002</v>
      </c>
      <c r="D812" t="s">
        <v>134</v>
      </c>
    </row>
    <row r="813" spans="1:4" x14ac:dyDescent="0.25">
      <c r="A813">
        <v>14219</v>
      </c>
      <c r="B813" t="s">
        <v>124</v>
      </c>
      <c r="C813">
        <v>50</v>
      </c>
      <c r="D813" t="s">
        <v>134</v>
      </c>
    </row>
    <row r="814" spans="1:4" x14ac:dyDescent="0.25">
      <c r="A814">
        <v>14218</v>
      </c>
      <c r="B814" t="s">
        <v>124</v>
      </c>
      <c r="C814">
        <v>45</v>
      </c>
      <c r="D814" t="s">
        <v>134</v>
      </c>
    </row>
    <row r="815" spans="1:4" x14ac:dyDescent="0.25">
      <c r="A815">
        <v>14217</v>
      </c>
      <c r="B815" t="s">
        <v>124</v>
      </c>
      <c r="C815">
        <v>70</v>
      </c>
      <c r="D815" t="s">
        <v>134</v>
      </c>
    </row>
    <row r="816" spans="1:4" x14ac:dyDescent="0.25">
      <c r="A816">
        <v>14203</v>
      </c>
      <c r="B816" t="s">
        <v>125</v>
      </c>
      <c r="C816">
        <v>33.049999999999997</v>
      </c>
      <c r="D816" t="s">
        <v>134</v>
      </c>
    </row>
    <row r="817" spans="1:4" x14ac:dyDescent="0.25">
      <c r="A817">
        <v>14202</v>
      </c>
      <c r="B817" t="s">
        <v>125</v>
      </c>
      <c r="C817">
        <v>42.185000000000002</v>
      </c>
      <c r="D817" t="s">
        <v>134</v>
      </c>
    </row>
    <row r="818" spans="1:4" x14ac:dyDescent="0.25">
      <c r="A818">
        <v>14201</v>
      </c>
      <c r="B818" t="s">
        <v>125</v>
      </c>
      <c r="C818">
        <v>3.84</v>
      </c>
      <c r="D818" t="s">
        <v>134</v>
      </c>
    </row>
    <row r="819" spans="1:4" x14ac:dyDescent="0.25">
      <c r="A819">
        <v>14200</v>
      </c>
      <c r="B819" t="s">
        <v>125</v>
      </c>
      <c r="C819">
        <v>4.0999999999999996</v>
      </c>
      <c r="D819" t="s">
        <v>134</v>
      </c>
    </row>
    <row r="820" spans="1:4" x14ac:dyDescent="0.25">
      <c r="A820">
        <v>14199</v>
      </c>
      <c r="B820" t="s">
        <v>125</v>
      </c>
      <c r="C820">
        <v>40.67</v>
      </c>
      <c r="D820" t="s">
        <v>134</v>
      </c>
    </row>
    <row r="821" spans="1:4" x14ac:dyDescent="0.25">
      <c r="A821">
        <v>14198</v>
      </c>
      <c r="B821" t="s">
        <v>125</v>
      </c>
      <c r="C821">
        <v>6.44</v>
      </c>
      <c r="D821" t="s">
        <v>134</v>
      </c>
    </row>
    <row r="822" spans="1:4" x14ac:dyDescent="0.25">
      <c r="A822">
        <v>14197</v>
      </c>
      <c r="B822" t="s">
        <v>125</v>
      </c>
      <c r="C822">
        <v>84.75</v>
      </c>
      <c r="D822" t="s">
        <v>134</v>
      </c>
    </row>
    <row r="823" spans="1:4" x14ac:dyDescent="0.25">
      <c r="A823">
        <v>14196</v>
      </c>
      <c r="B823" t="s">
        <v>125</v>
      </c>
      <c r="C823">
        <v>127.12</v>
      </c>
      <c r="D823" t="s">
        <v>134</v>
      </c>
    </row>
    <row r="824" spans="1:4" x14ac:dyDescent="0.25">
      <c r="A824">
        <v>14195</v>
      </c>
      <c r="B824" t="s">
        <v>125</v>
      </c>
      <c r="C824">
        <v>66.95</v>
      </c>
      <c r="D824" t="s">
        <v>134</v>
      </c>
    </row>
    <row r="825" spans="1:4" x14ac:dyDescent="0.25">
      <c r="A825">
        <v>14194</v>
      </c>
      <c r="B825" t="s">
        <v>125</v>
      </c>
      <c r="C825">
        <v>13.559305555555556</v>
      </c>
      <c r="D825" t="s">
        <v>134</v>
      </c>
    </row>
    <row r="826" spans="1:4" x14ac:dyDescent="0.25">
      <c r="A826">
        <v>14193</v>
      </c>
      <c r="B826" t="s">
        <v>125</v>
      </c>
      <c r="C826">
        <v>12.88</v>
      </c>
      <c r="D826" t="s">
        <v>134</v>
      </c>
    </row>
    <row r="827" spans="1:4" x14ac:dyDescent="0.25">
      <c r="A827">
        <v>14192</v>
      </c>
      <c r="B827" t="s">
        <v>125</v>
      </c>
      <c r="C827">
        <v>7.7975000000000003</v>
      </c>
      <c r="D827" t="s">
        <v>134</v>
      </c>
    </row>
    <row r="828" spans="1:4" x14ac:dyDescent="0.25">
      <c r="A828">
        <v>14191</v>
      </c>
      <c r="B828" t="s">
        <v>125</v>
      </c>
      <c r="C828">
        <v>11.86</v>
      </c>
      <c r="D828" t="s">
        <v>134</v>
      </c>
    </row>
    <row r="829" spans="1:4" x14ac:dyDescent="0.25">
      <c r="A829">
        <v>14190</v>
      </c>
      <c r="B829" t="s">
        <v>125</v>
      </c>
      <c r="C829">
        <v>9.9574999999999996</v>
      </c>
      <c r="D829" t="s">
        <v>134</v>
      </c>
    </row>
    <row r="830" spans="1:4" x14ac:dyDescent="0.25">
      <c r="A830">
        <v>14189</v>
      </c>
      <c r="B830" t="s">
        <v>125</v>
      </c>
      <c r="C830">
        <v>33.729999999999997</v>
      </c>
      <c r="D830" t="s">
        <v>134</v>
      </c>
    </row>
    <row r="831" spans="1:4" x14ac:dyDescent="0.25">
      <c r="A831">
        <v>14188</v>
      </c>
      <c r="B831" t="s">
        <v>125</v>
      </c>
      <c r="C831">
        <v>415.25</v>
      </c>
      <c r="D831" t="s">
        <v>134</v>
      </c>
    </row>
    <row r="832" spans="1:4" x14ac:dyDescent="0.25">
      <c r="A832">
        <v>14138</v>
      </c>
      <c r="B832" t="s">
        <v>124</v>
      </c>
      <c r="C832">
        <v>30.58</v>
      </c>
      <c r="D832" t="s">
        <v>134</v>
      </c>
    </row>
    <row r="833" spans="1:4" x14ac:dyDescent="0.25">
      <c r="A833">
        <v>14125</v>
      </c>
      <c r="B833" t="s">
        <v>124</v>
      </c>
      <c r="C833">
        <v>1.7002689189189191</v>
      </c>
      <c r="D833" t="s">
        <v>134</v>
      </c>
    </row>
    <row r="834" spans="1:4" x14ac:dyDescent="0.25">
      <c r="A834">
        <v>14124</v>
      </c>
      <c r="B834" t="s">
        <v>124</v>
      </c>
      <c r="C834">
        <v>3.3058632352941175</v>
      </c>
      <c r="D834" t="s">
        <v>134</v>
      </c>
    </row>
    <row r="835" spans="1:4" x14ac:dyDescent="0.25">
      <c r="A835">
        <v>14123</v>
      </c>
      <c r="B835" t="s">
        <v>124</v>
      </c>
      <c r="C835">
        <v>27.119999999999997</v>
      </c>
      <c r="D835" t="s">
        <v>134</v>
      </c>
    </row>
    <row r="836" spans="1:4" x14ac:dyDescent="0.25">
      <c r="A836">
        <v>14108</v>
      </c>
      <c r="B836" t="s">
        <v>124</v>
      </c>
      <c r="C836">
        <v>7.6269230769230774</v>
      </c>
      <c r="D836" t="s">
        <v>134</v>
      </c>
    </row>
    <row r="837" spans="1:4" x14ac:dyDescent="0.25">
      <c r="A837">
        <v>14095</v>
      </c>
      <c r="B837" t="s">
        <v>28</v>
      </c>
      <c r="C837">
        <v>1.3134999999999999</v>
      </c>
      <c r="D837" t="s">
        <v>134</v>
      </c>
    </row>
    <row r="838" spans="1:4" x14ac:dyDescent="0.25">
      <c r="A838">
        <v>14091</v>
      </c>
      <c r="B838" t="s">
        <v>124</v>
      </c>
      <c r="C838">
        <v>4.8944461538461539</v>
      </c>
      <c r="D838" t="s">
        <v>134</v>
      </c>
    </row>
    <row r="839" spans="1:4" x14ac:dyDescent="0.25">
      <c r="A839">
        <v>14090</v>
      </c>
      <c r="B839" t="s">
        <v>124</v>
      </c>
      <c r="C839">
        <v>3.3573200000000001</v>
      </c>
      <c r="D839" t="s">
        <v>134</v>
      </c>
    </row>
    <row r="840" spans="1:4" x14ac:dyDescent="0.25">
      <c r="A840">
        <v>14071</v>
      </c>
      <c r="B840" t="s">
        <v>124</v>
      </c>
      <c r="C840">
        <v>9.6670000000000016</v>
      </c>
      <c r="D840" t="s">
        <v>134</v>
      </c>
    </row>
    <row r="841" spans="1:4" x14ac:dyDescent="0.25">
      <c r="A841">
        <v>14061</v>
      </c>
      <c r="B841" t="s">
        <v>28</v>
      </c>
      <c r="C841">
        <v>2.5</v>
      </c>
      <c r="D841" t="s">
        <v>134</v>
      </c>
    </row>
    <row r="842" spans="1:4" x14ac:dyDescent="0.25">
      <c r="A842">
        <v>14055</v>
      </c>
      <c r="B842" t="s">
        <v>125</v>
      </c>
      <c r="C842">
        <v>38.39</v>
      </c>
      <c r="D842" t="s">
        <v>134</v>
      </c>
    </row>
    <row r="843" spans="1:4" x14ac:dyDescent="0.25">
      <c r="A843">
        <v>14054</v>
      </c>
      <c r="B843" t="s">
        <v>125</v>
      </c>
      <c r="C843">
        <v>48.982999999999997</v>
      </c>
      <c r="D843" t="s">
        <v>134</v>
      </c>
    </row>
    <row r="844" spans="1:4" x14ac:dyDescent="0.25">
      <c r="A844">
        <v>14053</v>
      </c>
      <c r="B844" t="s">
        <v>125</v>
      </c>
      <c r="C844">
        <v>70.424000000000007</v>
      </c>
      <c r="D844" t="s">
        <v>134</v>
      </c>
    </row>
    <row r="845" spans="1:4" x14ac:dyDescent="0.25">
      <c r="A845">
        <v>14052</v>
      </c>
      <c r="B845" t="s">
        <v>125</v>
      </c>
      <c r="C845">
        <v>63.135333333333328</v>
      </c>
      <c r="D845" t="s">
        <v>134</v>
      </c>
    </row>
    <row r="846" spans="1:4" x14ac:dyDescent="0.25">
      <c r="A846">
        <v>14051</v>
      </c>
      <c r="B846" t="s">
        <v>125</v>
      </c>
      <c r="C846">
        <v>76.86333333333333</v>
      </c>
      <c r="D846" t="s">
        <v>134</v>
      </c>
    </row>
    <row r="847" spans="1:4" x14ac:dyDescent="0.25">
      <c r="A847">
        <v>14050</v>
      </c>
      <c r="B847" t="s">
        <v>125</v>
      </c>
      <c r="C847">
        <v>20.254999999999999</v>
      </c>
      <c r="D847" t="s">
        <v>134</v>
      </c>
    </row>
    <row r="848" spans="1:4" x14ac:dyDescent="0.25">
      <c r="A848">
        <v>14049</v>
      </c>
      <c r="B848" t="s">
        <v>124</v>
      </c>
      <c r="C848">
        <v>8</v>
      </c>
      <c r="D848" t="s">
        <v>134</v>
      </c>
    </row>
    <row r="849" spans="1:4" x14ac:dyDescent="0.25">
      <c r="A849">
        <v>14048</v>
      </c>
      <c r="B849" t="s">
        <v>125</v>
      </c>
      <c r="C849">
        <v>124.11</v>
      </c>
      <c r="D849" t="s">
        <v>134</v>
      </c>
    </row>
    <row r="850" spans="1:4" x14ac:dyDescent="0.25">
      <c r="A850">
        <v>14033</v>
      </c>
      <c r="B850" t="s">
        <v>28</v>
      </c>
      <c r="C850">
        <v>1.8</v>
      </c>
      <c r="D850" t="s">
        <v>134</v>
      </c>
    </row>
    <row r="851" spans="1:4" x14ac:dyDescent="0.25">
      <c r="A851">
        <v>14032</v>
      </c>
      <c r="B851" t="s">
        <v>124</v>
      </c>
      <c r="C851">
        <v>29.152279340446167</v>
      </c>
      <c r="D851" t="s">
        <v>134</v>
      </c>
    </row>
    <row r="852" spans="1:4" x14ac:dyDescent="0.25">
      <c r="A852">
        <v>14031</v>
      </c>
      <c r="B852" t="s">
        <v>124</v>
      </c>
      <c r="C852">
        <v>1.7685714285714287E-2</v>
      </c>
      <c r="D852" t="s">
        <v>134</v>
      </c>
    </row>
    <row r="853" spans="1:4" x14ac:dyDescent="0.25">
      <c r="A853">
        <v>14030</v>
      </c>
      <c r="B853" t="s">
        <v>124</v>
      </c>
      <c r="C853">
        <v>0.86150000000000004</v>
      </c>
      <c r="D853" t="s">
        <v>134</v>
      </c>
    </row>
    <row r="854" spans="1:4" x14ac:dyDescent="0.25">
      <c r="A854">
        <v>14029</v>
      </c>
      <c r="B854" t="s">
        <v>124</v>
      </c>
      <c r="C854">
        <v>1.7400694444444444E-2</v>
      </c>
      <c r="D854" t="s">
        <v>134</v>
      </c>
    </row>
    <row r="855" spans="1:4" x14ac:dyDescent="0.25">
      <c r="A855">
        <v>14028</v>
      </c>
      <c r="B855" t="s">
        <v>124</v>
      </c>
      <c r="C855">
        <v>0.68658333333333321</v>
      </c>
      <c r="D855" t="s">
        <v>134</v>
      </c>
    </row>
    <row r="856" spans="1:4" x14ac:dyDescent="0.25">
      <c r="A856">
        <v>14025</v>
      </c>
      <c r="B856" t="s">
        <v>28</v>
      </c>
      <c r="C856">
        <v>10</v>
      </c>
      <c r="D856" t="s">
        <v>134</v>
      </c>
    </row>
    <row r="857" spans="1:4" x14ac:dyDescent="0.25">
      <c r="A857">
        <v>14024</v>
      </c>
      <c r="B857" t="s">
        <v>28</v>
      </c>
      <c r="C857">
        <v>0.1865</v>
      </c>
      <c r="D857" t="s">
        <v>134</v>
      </c>
    </row>
    <row r="858" spans="1:4" x14ac:dyDescent="0.25">
      <c r="A858">
        <v>14023</v>
      </c>
      <c r="B858" t="s">
        <v>28</v>
      </c>
      <c r="C858">
        <v>0.1966</v>
      </c>
      <c r="D858" t="s">
        <v>134</v>
      </c>
    </row>
    <row r="859" spans="1:4" x14ac:dyDescent="0.25">
      <c r="A859">
        <v>14022</v>
      </c>
      <c r="B859" t="s">
        <v>124</v>
      </c>
      <c r="C859">
        <v>33.9</v>
      </c>
      <c r="D859" t="s">
        <v>134</v>
      </c>
    </row>
    <row r="860" spans="1:4" x14ac:dyDescent="0.25">
      <c r="A860">
        <v>14021</v>
      </c>
      <c r="B860" t="s">
        <v>124</v>
      </c>
      <c r="C860">
        <v>3.3940100000000002</v>
      </c>
      <c r="D860" t="s">
        <v>134</v>
      </c>
    </row>
    <row r="861" spans="1:4" x14ac:dyDescent="0.25">
      <c r="A861">
        <v>14021</v>
      </c>
      <c r="B861" t="s">
        <v>124</v>
      </c>
      <c r="C861">
        <v>4.0677952755905515</v>
      </c>
      <c r="D861" t="s">
        <v>134</v>
      </c>
    </row>
    <row r="862" spans="1:4" x14ac:dyDescent="0.25">
      <c r="A862">
        <v>139</v>
      </c>
      <c r="B862" t="s">
        <v>124</v>
      </c>
      <c r="C862">
        <v>6.7799999999999994</v>
      </c>
      <c r="D862" t="s">
        <v>134</v>
      </c>
    </row>
    <row r="863" spans="1:4" x14ac:dyDescent="0.25">
      <c r="A863">
        <v>13908</v>
      </c>
      <c r="B863" t="s">
        <v>124</v>
      </c>
      <c r="C863">
        <v>2.4033333333333333</v>
      </c>
      <c r="D863" t="s">
        <v>134</v>
      </c>
    </row>
    <row r="864" spans="1:4" x14ac:dyDescent="0.25">
      <c r="A864">
        <v>13907</v>
      </c>
      <c r="B864" t="s">
        <v>124</v>
      </c>
      <c r="C864">
        <v>5.377745833333333</v>
      </c>
      <c r="D864" t="s">
        <v>134</v>
      </c>
    </row>
    <row r="865" spans="1:4" x14ac:dyDescent="0.25">
      <c r="A865">
        <v>13905</v>
      </c>
      <c r="B865" t="s">
        <v>124</v>
      </c>
      <c r="C865">
        <v>2.0029300000000001</v>
      </c>
      <c r="D865" t="s">
        <v>134</v>
      </c>
    </row>
    <row r="866" spans="1:4" x14ac:dyDescent="0.25">
      <c r="A866">
        <v>13904</v>
      </c>
      <c r="B866" t="s">
        <v>124</v>
      </c>
      <c r="C866">
        <v>3.76</v>
      </c>
      <c r="D866" t="s">
        <v>134</v>
      </c>
    </row>
    <row r="867" spans="1:4" x14ac:dyDescent="0.25">
      <c r="A867">
        <v>13903</v>
      </c>
      <c r="B867" t="s">
        <v>124</v>
      </c>
      <c r="C867">
        <v>2.7348999999999997</v>
      </c>
      <c r="D867" t="s">
        <v>134</v>
      </c>
    </row>
    <row r="868" spans="1:4" x14ac:dyDescent="0.25">
      <c r="A868">
        <v>13902</v>
      </c>
      <c r="B868" t="s">
        <v>124</v>
      </c>
      <c r="C868">
        <v>1.0781264000000002</v>
      </c>
      <c r="D868" t="s">
        <v>134</v>
      </c>
    </row>
    <row r="869" spans="1:4" x14ac:dyDescent="0.25">
      <c r="A869">
        <v>13898</v>
      </c>
      <c r="B869" t="s">
        <v>125</v>
      </c>
      <c r="C869">
        <v>2.2600000000000002</v>
      </c>
      <c r="D869" t="s">
        <v>134</v>
      </c>
    </row>
    <row r="870" spans="1:4" x14ac:dyDescent="0.25">
      <c r="A870">
        <v>13897</v>
      </c>
      <c r="B870" t="s">
        <v>125</v>
      </c>
      <c r="C870">
        <v>41.950819672131146</v>
      </c>
      <c r="D870" t="s">
        <v>134</v>
      </c>
    </row>
    <row r="871" spans="1:4" x14ac:dyDescent="0.25">
      <c r="A871">
        <v>13896</v>
      </c>
      <c r="B871" t="s">
        <v>124</v>
      </c>
      <c r="C871">
        <v>2.2999999999999998</v>
      </c>
      <c r="D871" t="s">
        <v>134</v>
      </c>
    </row>
    <row r="872" spans="1:4" x14ac:dyDescent="0.25">
      <c r="A872">
        <v>13895</v>
      </c>
      <c r="B872" t="s">
        <v>124</v>
      </c>
      <c r="C872">
        <v>8.9</v>
      </c>
      <c r="D872" t="s">
        <v>134</v>
      </c>
    </row>
    <row r="873" spans="1:4" x14ac:dyDescent="0.25">
      <c r="A873">
        <v>13894</v>
      </c>
      <c r="B873" t="s">
        <v>124</v>
      </c>
      <c r="C873">
        <v>8.9</v>
      </c>
      <c r="D873" t="s">
        <v>134</v>
      </c>
    </row>
    <row r="874" spans="1:4" x14ac:dyDescent="0.25">
      <c r="A874">
        <v>13893</v>
      </c>
      <c r="B874" t="s">
        <v>124</v>
      </c>
      <c r="C874">
        <v>8.9</v>
      </c>
      <c r="D874" t="s">
        <v>134</v>
      </c>
    </row>
    <row r="875" spans="1:4" x14ac:dyDescent="0.25">
      <c r="A875">
        <v>13892</v>
      </c>
      <c r="B875" t="s">
        <v>124</v>
      </c>
      <c r="C875">
        <v>8.9</v>
      </c>
      <c r="D875" t="s">
        <v>134</v>
      </c>
    </row>
    <row r="876" spans="1:4" x14ac:dyDescent="0.25">
      <c r="A876">
        <v>13891</v>
      </c>
      <c r="B876" t="s">
        <v>126</v>
      </c>
      <c r="C876">
        <v>4.24</v>
      </c>
      <c r="D876" t="s">
        <v>134</v>
      </c>
    </row>
    <row r="877" spans="1:4" x14ac:dyDescent="0.25">
      <c r="A877">
        <v>13890</v>
      </c>
      <c r="B877" t="s">
        <v>124</v>
      </c>
      <c r="C877">
        <v>8.75</v>
      </c>
      <c r="D877" t="s">
        <v>134</v>
      </c>
    </row>
    <row r="878" spans="1:4" x14ac:dyDescent="0.25">
      <c r="A878">
        <v>13889</v>
      </c>
      <c r="B878" t="s">
        <v>126</v>
      </c>
      <c r="C878">
        <v>8.9450000000000003</v>
      </c>
      <c r="D878" t="s">
        <v>134</v>
      </c>
    </row>
    <row r="879" spans="1:4" x14ac:dyDescent="0.25">
      <c r="A879">
        <v>13888</v>
      </c>
      <c r="B879" t="s">
        <v>126</v>
      </c>
      <c r="C879">
        <v>8.9454999999999991</v>
      </c>
      <c r="D879" t="s">
        <v>134</v>
      </c>
    </row>
    <row r="880" spans="1:4" x14ac:dyDescent="0.25">
      <c r="A880">
        <v>13887</v>
      </c>
      <c r="B880" t="s">
        <v>126</v>
      </c>
      <c r="C880">
        <v>8.9456249999999997</v>
      </c>
      <c r="D880" t="s">
        <v>134</v>
      </c>
    </row>
    <row r="881" spans="1:4" x14ac:dyDescent="0.25">
      <c r="A881">
        <v>13785</v>
      </c>
      <c r="B881" t="s">
        <v>125</v>
      </c>
      <c r="C881">
        <v>1.58</v>
      </c>
      <c r="D881" t="s">
        <v>134</v>
      </c>
    </row>
    <row r="882" spans="1:4" x14ac:dyDescent="0.25">
      <c r="A882">
        <v>13784</v>
      </c>
      <c r="B882" t="s">
        <v>125</v>
      </c>
      <c r="C882">
        <v>1.58</v>
      </c>
      <c r="D882" t="s">
        <v>134</v>
      </c>
    </row>
    <row r="883" spans="1:4" x14ac:dyDescent="0.25">
      <c r="A883">
        <v>13783</v>
      </c>
      <c r="B883" t="s">
        <v>125</v>
      </c>
      <c r="C883">
        <v>1.58</v>
      </c>
      <c r="D883" t="s">
        <v>134</v>
      </c>
    </row>
    <row r="884" spans="1:4" x14ac:dyDescent="0.25">
      <c r="A884">
        <v>13782</v>
      </c>
      <c r="B884" t="s">
        <v>125</v>
      </c>
      <c r="C884">
        <v>1.58</v>
      </c>
      <c r="D884" t="s">
        <v>134</v>
      </c>
    </row>
    <row r="885" spans="1:4" x14ac:dyDescent="0.25">
      <c r="A885">
        <v>13781</v>
      </c>
      <c r="B885" t="s">
        <v>125</v>
      </c>
      <c r="C885">
        <v>1.58</v>
      </c>
      <c r="D885" t="s">
        <v>134</v>
      </c>
    </row>
    <row r="886" spans="1:4" x14ac:dyDescent="0.25">
      <c r="A886">
        <v>13780</v>
      </c>
      <c r="B886" t="s">
        <v>125</v>
      </c>
      <c r="C886">
        <v>1.58</v>
      </c>
      <c r="D886" t="s">
        <v>134</v>
      </c>
    </row>
    <row r="887" spans="1:4" x14ac:dyDescent="0.25">
      <c r="A887">
        <v>13779</v>
      </c>
      <c r="B887" t="s">
        <v>125</v>
      </c>
      <c r="C887">
        <v>1.58</v>
      </c>
      <c r="D887" t="s">
        <v>134</v>
      </c>
    </row>
    <row r="888" spans="1:4" x14ac:dyDescent="0.25">
      <c r="A888">
        <v>13778</v>
      </c>
      <c r="B888" t="s">
        <v>125</v>
      </c>
      <c r="C888">
        <v>1.58</v>
      </c>
      <c r="D888" t="s">
        <v>134</v>
      </c>
    </row>
    <row r="889" spans="1:4" x14ac:dyDescent="0.25">
      <c r="A889">
        <v>13770</v>
      </c>
      <c r="B889" t="s">
        <v>125</v>
      </c>
      <c r="C889">
        <v>61.61</v>
      </c>
      <c r="D889" t="s">
        <v>134</v>
      </c>
    </row>
    <row r="890" spans="1:4" x14ac:dyDescent="0.25">
      <c r="A890">
        <v>13769</v>
      </c>
      <c r="B890" t="s">
        <v>125</v>
      </c>
      <c r="C890">
        <v>7.54</v>
      </c>
      <c r="D890" t="s">
        <v>134</v>
      </c>
    </row>
    <row r="891" spans="1:4" x14ac:dyDescent="0.25">
      <c r="A891">
        <v>13768</v>
      </c>
      <c r="B891" t="s">
        <v>125</v>
      </c>
      <c r="C891">
        <v>30.93</v>
      </c>
      <c r="D891" t="s">
        <v>134</v>
      </c>
    </row>
    <row r="892" spans="1:4" x14ac:dyDescent="0.25">
      <c r="A892">
        <v>13767</v>
      </c>
      <c r="B892" t="s">
        <v>125</v>
      </c>
      <c r="C892">
        <v>6.61</v>
      </c>
      <c r="D892" t="s">
        <v>134</v>
      </c>
    </row>
    <row r="893" spans="1:4" x14ac:dyDescent="0.25">
      <c r="A893">
        <v>13766</v>
      </c>
      <c r="B893" t="s">
        <v>125</v>
      </c>
      <c r="C893">
        <v>10</v>
      </c>
      <c r="D893" t="s">
        <v>134</v>
      </c>
    </row>
    <row r="894" spans="1:4" x14ac:dyDescent="0.25">
      <c r="A894">
        <v>13765</v>
      </c>
      <c r="B894" t="s">
        <v>125</v>
      </c>
      <c r="C894">
        <v>5.085</v>
      </c>
      <c r="D894" t="s">
        <v>134</v>
      </c>
    </row>
    <row r="895" spans="1:4" x14ac:dyDescent="0.25">
      <c r="A895">
        <v>13764</v>
      </c>
      <c r="B895" t="s">
        <v>125</v>
      </c>
      <c r="C895">
        <v>32.625</v>
      </c>
      <c r="D895" t="s">
        <v>134</v>
      </c>
    </row>
    <row r="896" spans="1:4" x14ac:dyDescent="0.25">
      <c r="A896">
        <v>13763</v>
      </c>
      <c r="B896" t="s">
        <v>125</v>
      </c>
      <c r="C896">
        <v>62.8</v>
      </c>
      <c r="D896" t="s">
        <v>134</v>
      </c>
    </row>
    <row r="897" spans="1:4" x14ac:dyDescent="0.25">
      <c r="A897">
        <v>13762</v>
      </c>
      <c r="B897" t="s">
        <v>125</v>
      </c>
      <c r="C897">
        <v>63.14</v>
      </c>
      <c r="D897" t="s">
        <v>134</v>
      </c>
    </row>
    <row r="898" spans="1:4" x14ac:dyDescent="0.25">
      <c r="A898">
        <v>13761</v>
      </c>
      <c r="B898" t="s">
        <v>125</v>
      </c>
      <c r="C898">
        <v>62.8</v>
      </c>
      <c r="D898" t="s">
        <v>134</v>
      </c>
    </row>
    <row r="899" spans="1:4" x14ac:dyDescent="0.25">
      <c r="A899">
        <v>13760</v>
      </c>
      <c r="B899" t="s">
        <v>125</v>
      </c>
      <c r="C899">
        <v>54.66</v>
      </c>
      <c r="D899" t="s">
        <v>134</v>
      </c>
    </row>
    <row r="900" spans="1:4" x14ac:dyDescent="0.25">
      <c r="A900">
        <v>13753</v>
      </c>
      <c r="B900" t="s">
        <v>124</v>
      </c>
      <c r="C900">
        <v>0.90023529411764702</v>
      </c>
      <c r="D900" t="s">
        <v>134</v>
      </c>
    </row>
    <row r="901" spans="1:4" x14ac:dyDescent="0.25">
      <c r="A901">
        <v>13752</v>
      </c>
      <c r="B901" t="s">
        <v>124</v>
      </c>
      <c r="C901">
        <v>3.1607820512820513</v>
      </c>
      <c r="D901" t="s">
        <v>134</v>
      </c>
    </row>
    <row r="902" spans="1:4" x14ac:dyDescent="0.25">
      <c r="A902">
        <v>13751</v>
      </c>
      <c r="B902" t="s">
        <v>124</v>
      </c>
      <c r="C902">
        <v>6.6160042735042737E-2</v>
      </c>
      <c r="D902" t="s">
        <v>134</v>
      </c>
    </row>
    <row r="903" spans="1:4" x14ac:dyDescent="0.25">
      <c r="A903">
        <v>13750</v>
      </c>
      <c r="B903" t="s">
        <v>124</v>
      </c>
      <c r="C903">
        <v>6.5285617647058825</v>
      </c>
      <c r="D903" t="s">
        <v>134</v>
      </c>
    </row>
    <row r="904" spans="1:4" x14ac:dyDescent="0.25">
      <c r="A904">
        <v>13749</v>
      </c>
      <c r="B904" t="s">
        <v>124</v>
      </c>
      <c r="C904">
        <v>0.40488398692810457</v>
      </c>
      <c r="D904" t="s">
        <v>134</v>
      </c>
    </row>
    <row r="905" spans="1:4" x14ac:dyDescent="0.25">
      <c r="A905">
        <v>13745</v>
      </c>
      <c r="B905" t="s">
        <v>125</v>
      </c>
      <c r="C905">
        <v>31.27</v>
      </c>
      <c r="D905" t="s">
        <v>134</v>
      </c>
    </row>
    <row r="906" spans="1:4" x14ac:dyDescent="0.25">
      <c r="A906">
        <v>13719</v>
      </c>
      <c r="B906" t="s">
        <v>124</v>
      </c>
      <c r="C906">
        <v>59.727999999999994</v>
      </c>
      <c r="D906" t="s">
        <v>134</v>
      </c>
    </row>
    <row r="907" spans="1:4" x14ac:dyDescent="0.25">
      <c r="A907">
        <v>13718</v>
      </c>
      <c r="B907" t="s">
        <v>124</v>
      </c>
      <c r="C907">
        <v>7.4199294117647057</v>
      </c>
      <c r="D907" t="s">
        <v>134</v>
      </c>
    </row>
    <row r="908" spans="1:4" x14ac:dyDescent="0.25">
      <c r="A908">
        <v>13717</v>
      </c>
      <c r="B908" t="s">
        <v>124</v>
      </c>
      <c r="C908">
        <v>44.361933333333333</v>
      </c>
      <c r="D908" t="s">
        <v>134</v>
      </c>
    </row>
    <row r="909" spans="1:4" x14ac:dyDescent="0.25">
      <c r="A909">
        <v>13716</v>
      </c>
      <c r="B909" t="s">
        <v>124</v>
      </c>
      <c r="C909">
        <v>4.4352714285714283</v>
      </c>
      <c r="D909" t="s">
        <v>134</v>
      </c>
    </row>
    <row r="910" spans="1:4" x14ac:dyDescent="0.25">
      <c r="A910">
        <v>13715</v>
      </c>
      <c r="B910" t="s">
        <v>124</v>
      </c>
      <c r="C910">
        <v>0.40079999999999999</v>
      </c>
      <c r="D910" t="s">
        <v>134</v>
      </c>
    </row>
    <row r="911" spans="1:4" x14ac:dyDescent="0.25">
      <c r="A911">
        <v>13714</v>
      </c>
      <c r="B911" t="s">
        <v>124</v>
      </c>
      <c r="C911">
        <v>1.3277631578947369</v>
      </c>
      <c r="D911" t="s">
        <v>134</v>
      </c>
    </row>
    <row r="912" spans="1:4" x14ac:dyDescent="0.25">
      <c r="A912">
        <v>13713</v>
      </c>
      <c r="B912" t="s">
        <v>124</v>
      </c>
      <c r="C912">
        <v>2.5919999999999996</v>
      </c>
      <c r="D912" t="s">
        <v>134</v>
      </c>
    </row>
    <row r="913" spans="1:4" x14ac:dyDescent="0.25">
      <c r="A913">
        <v>13712</v>
      </c>
      <c r="B913" t="s">
        <v>124</v>
      </c>
      <c r="C913">
        <v>2.3206000000000002</v>
      </c>
      <c r="D913" t="s">
        <v>134</v>
      </c>
    </row>
    <row r="914" spans="1:4" x14ac:dyDescent="0.25">
      <c r="A914">
        <v>13711</v>
      </c>
      <c r="B914" t="s">
        <v>124</v>
      </c>
      <c r="C914">
        <v>1.2922125</v>
      </c>
      <c r="D914" t="s">
        <v>134</v>
      </c>
    </row>
    <row r="915" spans="1:4" x14ac:dyDescent="0.25">
      <c r="A915">
        <v>13710</v>
      </c>
      <c r="B915" t="s">
        <v>124</v>
      </c>
      <c r="C915">
        <v>0.57410000000000005</v>
      </c>
      <c r="D915" t="s">
        <v>134</v>
      </c>
    </row>
    <row r="916" spans="1:4" x14ac:dyDescent="0.25">
      <c r="A916">
        <v>13700</v>
      </c>
      <c r="B916" t="s">
        <v>124</v>
      </c>
      <c r="C916">
        <v>40</v>
      </c>
      <c r="D916" t="s">
        <v>134</v>
      </c>
    </row>
    <row r="917" spans="1:4" x14ac:dyDescent="0.25">
      <c r="A917">
        <v>13699</v>
      </c>
      <c r="B917" t="s">
        <v>125</v>
      </c>
      <c r="C917">
        <v>2.1190000000000002</v>
      </c>
      <c r="D917" t="s">
        <v>134</v>
      </c>
    </row>
    <row r="918" spans="1:4" x14ac:dyDescent="0.25">
      <c r="A918">
        <v>13698</v>
      </c>
      <c r="B918" t="s">
        <v>124</v>
      </c>
      <c r="C918">
        <v>8.1950000000000003</v>
      </c>
      <c r="D918" t="s">
        <v>134</v>
      </c>
    </row>
    <row r="919" spans="1:4" x14ac:dyDescent="0.25">
      <c r="A919">
        <v>13687</v>
      </c>
      <c r="B919" t="s">
        <v>125</v>
      </c>
      <c r="C919">
        <v>0.74009999999999998</v>
      </c>
      <c r="D919" t="s">
        <v>134</v>
      </c>
    </row>
    <row r="920" spans="1:4" x14ac:dyDescent="0.25">
      <c r="A920">
        <v>13686</v>
      </c>
      <c r="B920" t="s">
        <v>125</v>
      </c>
      <c r="C920">
        <v>0.64400000000000002</v>
      </c>
      <c r="D920" t="s">
        <v>134</v>
      </c>
    </row>
    <row r="921" spans="1:4" x14ac:dyDescent="0.25">
      <c r="A921">
        <v>13684</v>
      </c>
      <c r="B921" t="s">
        <v>125</v>
      </c>
      <c r="C921">
        <v>1.1261111111111111</v>
      </c>
      <c r="D921" t="s">
        <v>134</v>
      </c>
    </row>
    <row r="922" spans="1:4" x14ac:dyDescent="0.25">
      <c r="A922">
        <v>13683</v>
      </c>
      <c r="B922" t="s">
        <v>125</v>
      </c>
      <c r="C922">
        <v>1.3049999999999999</v>
      </c>
      <c r="D922" t="s">
        <v>134</v>
      </c>
    </row>
    <row r="923" spans="1:4" x14ac:dyDescent="0.25">
      <c r="A923">
        <v>13667</v>
      </c>
      <c r="B923" t="s">
        <v>125</v>
      </c>
      <c r="C923">
        <v>32.965000000000003</v>
      </c>
      <c r="D923" t="s">
        <v>134</v>
      </c>
    </row>
    <row r="924" spans="1:4" x14ac:dyDescent="0.25">
      <c r="A924">
        <v>13663</v>
      </c>
      <c r="B924" t="s">
        <v>125</v>
      </c>
      <c r="C924">
        <v>23.58666666666667</v>
      </c>
      <c r="D924" t="s">
        <v>134</v>
      </c>
    </row>
    <row r="925" spans="1:4" x14ac:dyDescent="0.25">
      <c r="A925">
        <v>13662</v>
      </c>
      <c r="B925" t="s">
        <v>125</v>
      </c>
      <c r="C925">
        <v>5.085</v>
      </c>
      <c r="D925" t="s">
        <v>134</v>
      </c>
    </row>
    <row r="926" spans="1:4" x14ac:dyDescent="0.25">
      <c r="A926">
        <v>13655</v>
      </c>
      <c r="B926" t="s">
        <v>28</v>
      </c>
      <c r="C926">
        <v>11.865</v>
      </c>
      <c r="D926" t="s">
        <v>134</v>
      </c>
    </row>
    <row r="927" spans="1:4" x14ac:dyDescent="0.25">
      <c r="A927">
        <v>13653</v>
      </c>
      <c r="B927" t="s">
        <v>28</v>
      </c>
      <c r="C927">
        <v>0.50419999999999998</v>
      </c>
      <c r="D927" t="s">
        <v>134</v>
      </c>
    </row>
    <row r="928" spans="1:4" x14ac:dyDescent="0.25">
      <c r="A928">
        <v>13642</v>
      </c>
      <c r="B928" t="s">
        <v>124</v>
      </c>
      <c r="C928">
        <v>10.305</v>
      </c>
      <c r="D928" t="s">
        <v>134</v>
      </c>
    </row>
    <row r="929" spans="1:4" x14ac:dyDescent="0.25">
      <c r="A929">
        <v>13641</v>
      </c>
      <c r="B929" t="s">
        <v>124</v>
      </c>
      <c r="C929">
        <v>9.0910010111223443</v>
      </c>
      <c r="D929" t="s">
        <v>134</v>
      </c>
    </row>
    <row r="930" spans="1:4" x14ac:dyDescent="0.25">
      <c r="A930">
        <v>13640</v>
      </c>
      <c r="B930" t="s">
        <v>124</v>
      </c>
      <c r="C930">
        <v>12.88125</v>
      </c>
      <c r="D930" t="s">
        <v>134</v>
      </c>
    </row>
    <row r="931" spans="1:4" x14ac:dyDescent="0.25">
      <c r="A931">
        <v>13624</v>
      </c>
      <c r="B931" t="s">
        <v>125</v>
      </c>
      <c r="C931">
        <v>0.4</v>
      </c>
      <c r="D931" t="s">
        <v>134</v>
      </c>
    </row>
    <row r="932" spans="1:4" x14ac:dyDescent="0.25">
      <c r="A932">
        <v>13606</v>
      </c>
      <c r="B932" t="s">
        <v>124</v>
      </c>
      <c r="C932">
        <v>57.627499999999998</v>
      </c>
      <c r="D932" t="s">
        <v>134</v>
      </c>
    </row>
    <row r="933" spans="1:4" x14ac:dyDescent="0.25">
      <c r="A933">
        <v>13605</v>
      </c>
      <c r="B933" t="s">
        <v>28</v>
      </c>
      <c r="C933">
        <v>21.184999999999999</v>
      </c>
      <c r="D933" t="s">
        <v>134</v>
      </c>
    </row>
    <row r="934" spans="1:4" x14ac:dyDescent="0.25">
      <c r="A934">
        <v>13604</v>
      </c>
      <c r="B934" t="s">
        <v>125</v>
      </c>
      <c r="C934">
        <v>8.16</v>
      </c>
      <c r="D934" t="s">
        <v>134</v>
      </c>
    </row>
    <row r="935" spans="1:4" x14ac:dyDescent="0.25">
      <c r="A935">
        <v>13603</v>
      </c>
      <c r="B935" t="s">
        <v>125</v>
      </c>
      <c r="C935">
        <v>10.17</v>
      </c>
      <c r="D935" t="s">
        <v>134</v>
      </c>
    </row>
    <row r="936" spans="1:4" x14ac:dyDescent="0.25">
      <c r="A936">
        <v>13601</v>
      </c>
      <c r="B936" t="s">
        <v>124</v>
      </c>
      <c r="C936">
        <v>27.12</v>
      </c>
      <c r="D936" t="s">
        <v>134</v>
      </c>
    </row>
    <row r="937" spans="1:4" x14ac:dyDescent="0.25">
      <c r="A937">
        <v>13599</v>
      </c>
      <c r="B937" t="s">
        <v>124</v>
      </c>
      <c r="C937">
        <v>62.71</v>
      </c>
      <c r="D937" t="s">
        <v>134</v>
      </c>
    </row>
    <row r="938" spans="1:4" x14ac:dyDescent="0.25">
      <c r="A938">
        <v>13585</v>
      </c>
      <c r="B938" t="s">
        <v>124</v>
      </c>
      <c r="C938">
        <v>1.3577163636363638</v>
      </c>
      <c r="D938" t="s">
        <v>134</v>
      </c>
    </row>
    <row r="939" spans="1:4" x14ac:dyDescent="0.25">
      <c r="A939">
        <v>13584</v>
      </c>
      <c r="B939" t="s">
        <v>124</v>
      </c>
      <c r="C939">
        <v>8.1294666666666668E-2</v>
      </c>
      <c r="D939" t="s">
        <v>134</v>
      </c>
    </row>
    <row r="940" spans="1:4" x14ac:dyDescent="0.25">
      <c r="A940">
        <v>13583</v>
      </c>
      <c r="B940" t="s">
        <v>124</v>
      </c>
      <c r="C940">
        <v>7.3017647058823534E-2</v>
      </c>
      <c r="D940" t="s">
        <v>134</v>
      </c>
    </row>
    <row r="941" spans="1:4" x14ac:dyDescent="0.25">
      <c r="A941">
        <v>13582</v>
      </c>
      <c r="B941" t="s">
        <v>124</v>
      </c>
      <c r="C941">
        <v>1.2362531250000002</v>
      </c>
      <c r="D941" t="s">
        <v>134</v>
      </c>
    </row>
    <row r="942" spans="1:4" x14ac:dyDescent="0.25">
      <c r="A942">
        <v>13581</v>
      </c>
      <c r="B942" t="s">
        <v>124</v>
      </c>
      <c r="C942">
        <v>13.619486016628873</v>
      </c>
      <c r="D942" t="s">
        <v>134</v>
      </c>
    </row>
    <row r="943" spans="1:4" x14ac:dyDescent="0.25">
      <c r="A943">
        <v>13580</v>
      </c>
      <c r="B943" t="s">
        <v>124</v>
      </c>
      <c r="C943">
        <v>1.4929670588235293</v>
      </c>
      <c r="D943" t="s">
        <v>134</v>
      </c>
    </row>
    <row r="944" spans="1:4" x14ac:dyDescent="0.25">
      <c r="A944">
        <v>13579</v>
      </c>
      <c r="B944" t="s">
        <v>124</v>
      </c>
      <c r="C944">
        <v>0.20961111111111114</v>
      </c>
      <c r="D944" t="s">
        <v>134</v>
      </c>
    </row>
    <row r="945" spans="1:4" x14ac:dyDescent="0.25">
      <c r="A945">
        <v>13578</v>
      </c>
      <c r="B945" t="s">
        <v>124</v>
      </c>
      <c r="C945">
        <v>1.9728709677419354</v>
      </c>
      <c r="D945" t="s">
        <v>134</v>
      </c>
    </row>
    <row r="946" spans="1:4" x14ac:dyDescent="0.25">
      <c r="A946">
        <v>13568</v>
      </c>
      <c r="B946" t="s">
        <v>125</v>
      </c>
      <c r="C946">
        <v>21.1</v>
      </c>
      <c r="D946" t="s">
        <v>134</v>
      </c>
    </row>
    <row r="947" spans="1:4" x14ac:dyDescent="0.25">
      <c r="A947">
        <v>13565</v>
      </c>
      <c r="B947" t="s">
        <v>124</v>
      </c>
      <c r="C947">
        <v>7.54</v>
      </c>
      <c r="D947" t="s">
        <v>134</v>
      </c>
    </row>
    <row r="948" spans="1:4" x14ac:dyDescent="0.25">
      <c r="A948">
        <v>13564</v>
      </c>
      <c r="B948" t="s">
        <v>124</v>
      </c>
      <c r="C948">
        <v>10.93</v>
      </c>
      <c r="D948" t="s">
        <v>134</v>
      </c>
    </row>
    <row r="949" spans="1:4" x14ac:dyDescent="0.25">
      <c r="A949">
        <v>13563</v>
      </c>
      <c r="B949" t="s">
        <v>124</v>
      </c>
      <c r="C949">
        <v>8.39</v>
      </c>
      <c r="D949" t="s">
        <v>134</v>
      </c>
    </row>
    <row r="950" spans="1:4" x14ac:dyDescent="0.25">
      <c r="A950">
        <v>13562</v>
      </c>
      <c r="B950" t="s">
        <v>124</v>
      </c>
      <c r="C950">
        <v>40.68</v>
      </c>
      <c r="D950" t="s">
        <v>134</v>
      </c>
    </row>
    <row r="951" spans="1:4" x14ac:dyDescent="0.25">
      <c r="A951">
        <v>13560</v>
      </c>
      <c r="B951" t="s">
        <v>125</v>
      </c>
      <c r="C951">
        <v>18.645</v>
      </c>
      <c r="D951" t="s">
        <v>134</v>
      </c>
    </row>
    <row r="952" spans="1:4" x14ac:dyDescent="0.25">
      <c r="A952">
        <v>13559</v>
      </c>
      <c r="B952" t="s">
        <v>125</v>
      </c>
      <c r="C952">
        <v>16.779499999999999</v>
      </c>
      <c r="D952" t="s">
        <v>134</v>
      </c>
    </row>
    <row r="953" spans="1:4" x14ac:dyDescent="0.25">
      <c r="A953">
        <v>13558</v>
      </c>
      <c r="B953" t="s">
        <v>125</v>
      </c>
      <c r="C953">
        <v>16.779499999999999</v>
      </c>
      <c r="D953" t="s">
        <v>134</v>
      </c>
    </row>
    <row r="954" spans="1:4" x14ac:dyDescent="0.25">
      <c r="A954">
        <v>13557</v>
      </c>
      <c r="B954" t="s">
        <v>125</v>
      </c>
      <c r="C954">
        <v>16.779687500000001</v>
      </c>
      <c r="D954" t="s">
        <v>134</v>
      </c>
    </row>
    <row r="955" spans="1:4" x14ac:dyDescent="0.25">
      <c r="A955">
        <v>13556</v>
      </c>
      <c r="B955" t="s">
        <v>125</v>
      </c>
      <c r="C955">
        <v>10.593238095238094</v>
      </c>
      <c r="D955" t="s">
        <v>134</v>
      </c>
    </row>
    <row r="956" spans="1:4" x14ac:dyDescent="0.25">
      <c r="A956">
        <v>13555</v>
      </c>
      <c r="B956" t="s">
        <v>124</v>
      </c>
      <c r="C956">
        <v>0.75</v>
      </c>
      <c r="D956" t="s">
        <v>134</v>
      </c>
    </row>
    <row r="957" spans="1:4" x14ac:dyDescent="0.25">
      <c r="A957">
        <v>13554</v>
      </c>
      <c r="B957" t="s">
        <v>124</v>
      </c>
      <c r="C957">
        <v>6.8886915887850471</v>
      </c>
      <c r="D957" t="s">
        <v>134</v>
      </c>
    </row>
    <row r="958" spans="1:4" x14ac:dyDescent="0.25">
      <c r="A958">
        <v>13553</v>
      </c>
      <c r="B958" t="s">
        <v>124</v>
      </c>
      <c r="C958">
        <v>1.1693264248704665</v>
      </c>
      <c r="D958" t="s">
        <v>134</v>
      </c>
    </row>
    <row r="959" spans="1:4" x14ac:dyDescent="0.25">
      <c r="A959">
        <v>13552</v>
      </c>
      <c r="B959" t="s">
        <v>124</v>
      </c>
      <c r="C959">
        <v>12.777391304347827</v>
      </c>
      <c r="D959" t="s">
        <v>134</v>
      </c>
    </row>
    <row r="960" spans="1:4" x14ac:dyDescent="0.25">
      <c r="A960">
        <v>13551</v>
      </c>
      <c r="B960" t="s">
        <v>124</v>
      </c>
      <c r="C960">
        <v>25.709348332040342</v>
      </c>
      <c r="D960" t="s">
        <v>134</v>
      </c>
    </row>
    <row r="961" spans="1:4" x14ac:dyDescent="0.25">
      <c r="A961">
        <v>13550</v>
      </c>
      <c r="B961" t="s">
        <v>124</v>
      </c>
      <c r="C961">
        <v>28.137762237762239</v>
      </c>
      <c r="D961" t="s">
        <v>134</v>
      </c>
    </row>
    <row r="962" spans="1:4" x14ac:dyDescent="0.25">
      <c r="A962">
        <v>13549</v>
      </c>
      <c r="B962" t="s">
        <v>124</v>
      </c>
      <c r="C962">
        <v>6.5047800000000002</v>
      </c>
      <c r="D962" t="s">
        <v>134</v>
      </c>
    </row>
    <row r="963" spans="1:4" x14ac:dyDescent="0.25">
      <c r="A963">
        <v>13548</v>
      </c>
      <c r="B963" t="s">
        <v>124</v>
      </c>
      <c r="C963">
        <v>0.13151785714285713</v>
      </c>
      <c r="D963" t="s">
        <v>134</v>
      </c>
    </row>
    <row r="964" spans="1:4" x14ac:dyDescent="0.25">
      <c r="A964">
        <v>13547</v>
      </c>
      <c r="B964" t="s">
        <v>124</v>
      </c>
      <c r="C964">
        <v>13.778529411764707</v>
      </c>
      <c r="D964" t="s">
        <v>134</v>
      </c>
    </row>
    <row r="965" spans="1:4" x14ac:dyDescent="0.25">
      <c r="A965">
        <v>13546</v>
      </c>
      <c r="B965" t="s">
        <v>124</v>
      </c>
      <c r="C965">
        <v>4.618453333333334</v>
      </c>
      <c r="D965" t="s">
        <v>134</v>
      </c>
    </row>
    <row r="966" spans="1:4" x14ac:dyDescent="0.25">
      <c r="A966">
        <v>13545</v>
      </c>
      <c r="B966" t="s">
        <v>124</v>
      </c>
      <c r="C966">
        <v>4.0602999999999998</v>
      </c>
      <c r="D966" t="s">
        <v>134</v>
      </c>
    </row>
    <row r="967" spans="1:4" x14ac:dyDescent="0.25">
      <c r="A967">
        <v>13544</v>
      </c>
      <c r="B967" t="s">
        <v>124</v>
      </c>
      <c r="C967">
        <v>6.1868499999999997</v>
      </c>
      <c r="D967" t="s">
        <v>134</v>
      </c>
    </row>
    <row r="968" spans="1:4" x14ac:dyDescent="0.25">
      <c r="A968">
        <v>13543</v>
      </c>
      <c r="B968" t="s">
        <v>124</v>
      </c>
      <c r="C968">
        <v>7.0486666666666666</v>
      </c>
      <c r="D968" t="s">
        <v>134</v>
      </c>
    </row>
    <row r="969" spans="1:4" x14ac:dyDescent="0.25">
      <c r="A969">
        <v>13537</v>
      </c>
      <c r="B969" t="s">
        <v>124</v>
      </c>
      <c r="C969">
        <v>600</v>
      </c>
      <c r="D969" t="s">
        <v>134</v>
      </c>
    </row>
    <row r="970" spans="1:4" x14ac:dyDescent="0.25">
      <c r="A970">
        <v>13528</v>
      </c>
      <c r="B970" t="s">
        <v>124</v>
      </c>
      <c r="C970">
        <v>4.09335</v>
      </c>
      <c r="D970" t="s">
        <v>134</v>
      </c>
    </row>
    <row r="971" spans="1:4" x14ac:dyDescent="0.25">
      <c r="A971">
        <v>13526</v>
      </c>
      <c r="B971" t="s">
        <v>124</v>
      </c>
      <c r="C971">
        <v>34.587733333333333</v>
      </c>
      <c r="D971" t="s">
        <v>134</v>
      </c>
    </row>
    <row r="972" spans="1:4" x14ac:dyDescent="0.25">
      <c r="A972">
        <v>134</v>
      </c>
      <c r="B972" t="s">
        <v>124</v>
      </c>
      <c r="C972">
        <v>0.57831999999999995</v>
      </c>
      <c r="D972" t="s">
        <v>134</v>
      </c>
    </row>
    <row r="973" spans="1:4" x14ac:dyDescent="0.25">
      <c r="A973">
        <v>134</v>
      </c>
      <c r="B973" t="s">
        <v>124</v>
      </c>
      <c r="C973">
        <v>2.5547999999999997</v>
      </c>
      <c r="D973" t="s">
        <v>134</v>
      </c>
    </row>
    <row r="974" spans="1:4" x14ac:dyDescent="0.25">
      <c r="A974">
        <v>13492</v>
      </c>
      <c r="B974" t="s">
        <v>124</v>
      </c>
      <c r="C974">
        <v>7.0399999999999991</v>
      </c>
      <c r="D974" t="s">
        <v>134</v>
      </c>
    </row>
    <row r="975" spans="1:4" x14ac:dyDescent="0.25">
      <c r="A975">
        <v>13491</v>
      </c>
      <c r="B975" t="s">
        <v>124</v>
      </c>
      <c r="C975">
        <v>0.77849999999999997</v>
      </c>
      <c r="D975" t="s">
        <v>134</v>
      </c>
    </row>
    <row r="976" spans="1:4" x14ac:dyDescent="0.25">
      <c r="A976">
        <v>13490</v>
      </c>
      <c r="B976" t="s">
        <v>124</v>
      </c>
      <c r="C976">
        <v>0.77849999999999997</v>
      </c>
      <c r="D976" t="s">
        <v>134</v>
      </c>
    </row>
    <row r="977" spans="1:4" x14ac:dyDescent="0.25">
      <c r="A977">
        <v>13489</v>
      </c>
      <c r="B977" t="s">
        <v>124</v>
      </c>
      <c r="C977">
        <v>65.680000000000007</v>
      </c>
      <c r="D977" t="s">
        <v>134</v>
      </c>
    </row>
    <row r="978" spans="1:4" x14ac:dyDescent="0.25">
      <c r="A978">
        <v>13486</v>
      </c>
      <c r="B978" t="s">
        <v>125</v>
      </c>
      <c r="C978">
        <v>5.085</v>
      </c>
      <c r="D978" t="s">
        <v>134</v>
      </c>
    </row>
    <row r="979" spans="1:4" x14ac:dyDescent="0.25">
      <c r="A979">
        <v>13483</v>
      </c>
      <c r="B979" t="s">
        <v>125</v>
      </c>
      <c r="C979">
        <v>0.4</v>
      </c>
      <c r="D979" t="s">
        <v>134</v>
      </c>
    </row>
    <row r="980" spans="1:4" x14ac:dyDescent="0.25">
      <c r="A980">
        <v>13482</v>
      </c>
      <c r="B980" t="s">
        <v>125</v>
      </c>
      <c r="C980">
        <v>0.4</v>
      </c>
      <c r="D980" t="s">
        <v>134</v>
      </c>
    </row>
    <row r="981" spans="1:4" x14ac:dyDescent="0.25">
      <c r="A981">
        <v>13481</v>
      </c>
      <c r="B981" t="s">
        <v>125</v>
      </c>
      <c r="C981">
        <v>0.4</v>
      </c>
      <c r="D981" t="s">
        <v>134</v>
      </c>
    </row>
    <row r="982" spans="1:4" x14ac:dyDescent="0.25">
      <c r="A982">
        <v>13480</v>
      </c>
      <c r="B982" t="s">
        <v>125</v>
      </c>
      <c r="C982">
        <v>0.4</v>
      </c>
      <c r="D982" t="s">
        <v>134</v>
      </c>
    </row>
    <row r="983" spans="1:4" x14ac:dyDescent="0.25">
      <c r="A983">
        <v>13479</v>
      </c>
      <c r="B983" t="s">
        <v>125</v>
      </c>
      <c r="C983">
        <v>0.4</v>
      </c>
      <c r="D983" t="s">
        <v>134</v>
      </c>
    </row>
    <row r="984" spans="1:4" x14ac:dyDescent="0.25">
      <c r="A984">
        <v>13478</v>
      </c>
      <c r="B984" t="s">
        <v>125</v>
      </c>
      <c r="C984">
        <v>0.4</v>
      </c>
      <c r="D984" t="s">
        <v>134</v>
      </c>
    </row>
    <row r="985" spans="1:4" x14ac:dyDescent="0.25">
      <c r="A985">
        <v>13477</v>
      </c>
      <c r="B985" t="s">
        <v>125</v>
      </c>
      <c r="C985">
        <v>0.5</v>
      </c>
      <c r="D985" t="s">
        <v>134</v>
      </c>
    </row>
    <row r="986" spans="1:4" x14ac:dyDescent="0.25">
      <c r="A986">
        <v>13476</v>
      </c>
      <c r="B986" t="s">
        <v>125</v>
      </c>
      <c r="C986">
        <v>0.6</v>
      </c>
      <c r="D986" t="s">
        <v>134</v>
      </c>
    </row>
    <row r="987" spans="1:4" x14ac:dyDescent="0.25">
      <c r="A987">
        <v>13475</v>
      </c>
      <c r="B987" t="s">
        <v>125</v>
      </c>
      <c r="C987">
        <v>0.6</v>
      </c>
      <c r="D987" t="s">
        <v>134</v>
      </c>
    </row>
    <row r="988" spans="1:4" x14ac:dyDescent="0.25">
      <c r="A988">
        <v>13474</v>
      </c>
      <c r="B988" t="s">
        <v>125</v>
      </c>
      <c r="C988">
        <v>0.6</v>
      </c>
      <c r="D988" t="s">
        <v>134</v>
      </c>
    </row>
    <row r="989" spans="1:4" x14ac:dyDescent="0.25">
      <c r="A989">
        <v>13473</v>
      </c>
      <c r="B989" t="s">
        <v>125</v>
      </c>
      <c r="C989">
        <v>0.6</v>
      </c>
      <c r="D989" t="s">
        <v>134</v>
      </c>
    </row>
    <row r="990" spans="1:4" x14ac:dyDescent="0.25">
      <c r="A990">
        <v>13472</v>
      </c>
      <c r="B990" t="s">
        <v>125</v>
      </c>
      <c r="C990">
        <v>0.6</v>
      </c>
      <c r="D990" t="s">
        <v>134</v>
      </c>
    </row>
    <row r="991" spans="1:4" x14ac:dyDescent="0.25">
      <c r="A991">
        <v>13471</v>
      </c>
      <c r="B991" t="s">
        <v>125</v>
      </c>
      <c r="C991">
        <v>0.6</v>
      </c>
      <c r="D991" t="s">
        <v>134</v>
      </c>
    </row>
    <row r="992" spans="1:4" x14ac:dyDescent="0.25">
      <c r="A992">
        <v>13470</v>
      </c>
      <c r="B992" t="s">
        <v>125</v>
      </c>
      <c r="C992">
        <v>0.6</v>
      </c>
      <c r="D992" t="s">
        <v>134</v>
      </c>
    </row>
    <row r="993" spans="1:4" x14ac:dyDescent="0.25">
      <c r="A993">
        <v>13469</v>
      </c>
      <c r="B993" t="s">
        <v>125</v>
      </c>
      <c r="C993">
        <v>0.6</v>
      </c>
      <c r="D993" t="s">
        <v>134</v>
      </c>
    </row>
    <row r="994" spans="1:4" x14ac:dyDescent="0.25">
      <c r="A994">
        <v>13468</v>
      </c>
      <c r="B994" t="s">
        <v>125</v>
      </c>
      <c r="C994">
        <v>19.705238095238094</v>
      </c>
      <c r="D994" t="s">
        <v>134</v>
      </c>
    </row>
    <row r="995" spans="1:4" x14ac:dyDescent="0.25">
      <c r="A995">
        <v>13467</v>
      </c>
      <c r="B995" t="s">
        <v>125</v>
      </c>
      <c r="C995">
        <v>19.706617647058824</v>
      </c>
      <c r="D995" t="s">
        <v>134</v>
      </c>
    </row>
    <row r="996" spans="1:4" x14ac:dyDescent="0.25">
      <c r="A996">
        <v>13466</v>
      </c>
      <c r="B996" t="s">
        <v>125</v>
      </c>
      <c r="C996">
        <v>25.126666666666665</v>
      </c>
      <c r="D996" t="s">
        <v>134</v>
      </c>
    </row>
    <row r="997" spans="1:4" x14ac:dyDescent="0.25">
      <c r="A997">
        <v>13465</v>
      </c>
      <c r="B997" t="s">
        <v>125</v>
      </c>
      <c r="C997">
        <v>5.9321428571428569</v>
      </c>
      <c r="D997" t="s">
        <v>134</v>
      </c>
    </row>
    <row r="998" spans="1:4" x14ac:dyDescent="0.25">
      <c r="A998">
        <v>13464</v>
      </c>
      <c r="B998" t="s">
        <v>124</v>
      </c>
      <c r="C998">
        <v>30.75054945054945</v>
      </c>
      <c r="D998" t="s">
        <v>134</v>
      </c>
    </row>
    <row r="999" spans="1:4" x14ac:dyDescent="0.25">
      <c r="A999">
        <v>13461</v>
      </c>
      <c r="B999" t="s">
        <v>125</v>
      </c>
      <c r="C999">
        <v>7.2</v>
      </c>
      <c r="D999" t="s">
        <v>134</v>
      </c>
    </row>
    <row r="1000" spans="1:4" x14ac:dyDescent="0.25">
      <c r="A1000">
        <v>13459</v>
      </c>
      <c r="B1000" t="s">
        <v>125</v>
      </c>
      <c r="C1000">
        <v>12.5</v>
      </c>
      <c r="D1000" t="s">
        <v>134</v>
      </c>
    </row>
    <row r="1001" spans="1:4" x14ac:dyDescent="0.25">
      <c r="A1001">
        <v>13455</v>
      </c>
      <c r="B1001" t="s">
        <v>124</v>
      </c>
      <c r="C1001">
        <v>3.7456459459459457</v>
      </c>
      <c r="D1001" t="s">
        <v>134</v>
      </c>
    </row>
    <row r="1002" spans="1:4" x14ac:dyDescent="0.25">
      <c r="A1002">
        <v>13454</v>
      </c>
      <c r="B1002" t="s">
        <v>124</v>
      </c>
      <c r="C1002">
        <v>0.33666869565217389</v>
      </c>
      <c r="D1002" t="s">
        <v>134</v>
      </c>
    </row>
    <row r="1003" spans="1:4" x14ac:dyDescent="0.25">
      <c r="A1003">
        <v>13453</v>
      </c>
      <c r="B1003" t="s">
        <v>124</v>
      </c>
      <c r="C1003">
        <v>0.72681742424242424</v>
      </c>
      <c r="D1003" t="s">
        <v>134</v>
      </c>
    </row>
    <row r="1004" spans="1:4" x14ac:dyDescent="0.25">
      <c r="A1004">
        <v>13452</v>
      </c>
      <c r="B1004" t="s">
        <v>124</v>
      </c>
      <c r="C1004">
        <v>17.344899999999999</v>
      </c>
      <c r="D1004" t="s">
        <v>134</v>
      </c>
    </row>
    <row r="1005" spans="1:4" x14ac:dyDescent="0.25">
      <c r="A1005">
        <v>13449</v>
      </c>
      <c r="B1005" t="s">
        <v>124</v>
      </c>
      <c r="C1005">
        <v>127.5</v>
      </c>
      <c r="D1005" t="s">
        <v>134</v>
      </c>
    </row>
    <row r="1006" spans="1:4" x14ac:dyDescent="0.25">
      <c r="A1006">
        <v>13448</v>
      </c>
      <c r="B1006" t="s">
        <v>125</v>
      </c>
      <c r="C1006">
        <v>40</v>
      </c>
      <c r="D1006" t="s">
        <v>134</v>
      </c>
    </row>
    <row r="1007" spans="1:4" x14ac:dyDescent="0.25">
      <c r="A1007">
        <v>13447</v>
      </c>
      <c r="B1007" t="s">
        <v>125</v>
      </c>
      <c r="C1007">
        <v>35</v>
      </c>
      <c r="D1007" t="s">
        <v>134</v>
      </c>
    </row>
    <row r="1008" spans="1:4" x14ac:dyDescent="0.25">
      <c r="A1008">
        <v>13446</v>
      </c>
      <c r="B1008" t="s">
        <v>125</v>
      </c>
      <c r="C1008">
        <v>85</v>
      </c>
      <c r="D1008" t="s">
        <v>134</v>
      </c>
    </row>
    <row r="1009" spans="1:4" x14ac:dyDescent="0.25">
      <c r="A1009">
        <v>13445</v>
      </c>
      <c r="B1009" t="s">
        <v>125</v>
      </c>
      <c r="C1009">
        <v>11.5</v>
      </c>
      <c r="D1009" t="s">
        <v>134</v>
      </c>
    </row>
    <row r="1010" spans="1:4" x14ac:dyDescent="0.25">
      <c r="A1010">
        <v>13437</v>
      </c>
      <c r="B1010" t="s">
        <v>125</v>
      </c>
      <c r="C1010">
        <v>8.6199999999999992</v>
      </c>
      <c r="D1010" t="s">
        <v>134</v>
      </c>
    </row>
    <row r="1011" spans="1:4" x14ac:dyDescent="0.25">
      <c r="A1011">
        <v>13436</v>
      </c>
      <c r="B1011" t="s">
        <v>124</v>
      </c>
      <c r="C1011">
        <v>7.2</v>
      </c>
      <c r="D1011" t="s">
        <v>134</v>
      </c>
    </row>
    <row r="1012" spans="1:4" x14ac:dyDescent="0.25">
      <c r="A1012">
        <v>13435</v>
      </c>
      <c r="B1012" t="s">
        <v>124</v>
      </c>
      <c r="C1012">
        <v>381.25</v>
      </c>
      <c r="D1012" t="s">
        <v>134</v>
      </c>
    </row>
    <row r="1013" spans="1:4" x14ac:dyDescent="0.25">
      <c r="A1013">
        <v>13434</v>
      </c>
      <c r="B1013" t="s">
        <v>124</v>
      </c>
      <c r="C1013">
        <v>22.588141025641022</v>
      </c>
      <c r="D1013" t="s">
        <v>134</v>
      </c>
    </row>
    <row r="1014" spans="1:4" x14ac:dyDescent="0.25">
      <c r="A1014">
        <v>13433</v>
      </c>
      <c r="B1014" t="s">
        <v>124</v>
      </c>
      <c r="C1014">
        <v>13.969999999999999</v>
      </c>
      <c r="D1014" t="s">
        <v>134</v>
      </c>
    </row>
    <row r="1015" spans="1:4" x14ac:dyDescent="0.25">
      <c r="A1015">
        <v>13432</v>
      </c>
      <c r="B1015" t="s">
        <v>124</v>
      </c>
      <c r="C1015">
        <v>2.0381051063829787</v>
      </c>
      <c r="D1015" t="s">
        <v>134</v>
      </c>
    </row>
    <row r="1016" spans="1:4" x14ac:dyDescent="0.25">
      <c r="A1016">
        <v>13427</v>
      </c>
      <c r="B1016" t="s">
        <v>124</v>
      </c>
      <c r="C1016">
        <v>2.72757037037037</v>
      </c>
      <c r="D1016" t="s">
        <v>134</v>
      </c>
    </row>
    <row r="1017" spans="1:4" x14ac:dyDescent="0.25">
      <c r="A1017">
        <v>13425</v>
      </c>
      <c r="B1017" t="s">
        <v>124</v>
      </c>
      <c r="C1017">
        <v>8.6427294117647051</v>
      </c>
      <c r="D1017" t="s">
        <v>134</v>
      </c>
    </row>
    <row r="1018" spans="1:4" x14ac:dyDescent="0.25">
      <c r="A1018">
        <v>13424</v>
      </c>
      <c r="B1018" t="s">
        <v>124</v>
      </c>
      <c r="C1018">
        <v>9</v>
      </c>
      <c r="D1018" t="s">
        <v>134</v>
      </c>
    </row>
    <row r="1019" spans="1:4" x14ac:dyDescent="0.25">
      <c r="A1019">
        <v>13423</v>
      </c>
      <c r="B1019" t="s">
        <v>28</v>
      </c>
      <c r="C1019">
        <v>0.35899999999999999</v>
      </c>
      <c r="D1019" t="s">
        <v>134</v>
      </c>
    </row>
    <row r="1020" spans="1:4" x14ac:dyDescent="0.25">
      <c r="A1020">
        <v>13422</v>
      </c>
      <c r="B1020" t="s">
        <v>28</v>
      </c>
      <c r="C1020">
        <v>0.35880000000000001</v>
      </c>
      <c r="D1020" t="s">
        <v>134</v>
      </c>
    </row>
    <row r="1021" spans="1:4" x14ac:dyDescent="0.25">
      <c r="A1021">
        <v>13380</v>
      </c>
      <c r="B1021" t="s">
        <v>124</v>
      </c>
      <c r="C1021">
        <v>3.4660333333333333</v>
      </c>
      <c r="D1021" t="s">
        <v>134</v>
      </c>
    </row>
    <row r="1022" spans="1:4" x14ac:dyDescent="0.25">
      <c r="A1022">
        <v>13379</v>
      </c>
      <c r="B1022" t="s">
        <v>124</v>
      </c>
      <c r="C1022">
        <v>8.84</v>
      </c>
      <c r="D1022" t="s">
        <v>134</v>
      </c>
    </row>
    <row r="1023" spans="1:4" x14ac:dyDescent="0.25">
      <c r="A1023">
        <v>13378</v>
      </c>
      <c r="B1023" t="s">
        <v>124</v>
      </c>
      <c r="C1023">
        <v>34.92</v>
      </c>
      <c r="D1023" t="s">
        <v>134</v>
      </c>
    </row>
    <row r="1024" spans="1:4" x14ac:dyDescent="0.25">
      <c r="A1024">
        <v>13377</v>
      </c>
      <c r="B1024" t="s">
        <v>124</v>
      </c>
      <c r="C1024">
        <v>4.0196749999999994</v>
      </c>
      <c r="D1024" t="s">
        <v>134</v>
      </c>
    </row>
    <row r="1025" spans="1:4" x14ac:dyDescent="0.25">
      <c r="A1025">
        <v>13376</v>
      </c>
      <c r="B1025" t="s">
        <v>124</v>
      </c>
      <c r="C1025">
        <v>4.8168357142857143</v>
      </c>
      <c r="D1025" t="s">
        <v>134</v>
      </c>
    </row>
    <row r="1026" spans="1:4" x14ac:dyDescent="0.25">
      <c r="A1026">
        <v>13375</v>
      </c>
      <c r="B1026" t="s">
        <v>124</v>
      </c>
      <c r="C1026">
        <v>11.103481481481481</v>
      </c>
      <c r="D1026" t="s">
        <v>134</v>
      </c>
    </row>
    <row r="1027" spans="1:4" x14ac:dyDescent="0.25">
      <c r="A1027">
        <v>13374</v>
      </c>
      <c r="B1027" t="s">
        <v>124</v>
      </c>
      <c r="C1027">
        <v>17.38</v>
      </c>
      <c r="D1027" t="s">
        <v>134</v>
      </c>
    </row>
    <row r="1028" spans="1:4" x14ac:dyDescent="0.25">
      <c r="A1028">
        <v>13373</v>
      </c>
      <c r="B1028" t="s">
        <v>124</v>
      </c>
      <c r="C1028">
        <v>5.2058299999999997</v>
      </c>
      <c r="D1028" t="s">
        <v>134</v>
      </c>
    </row>
    <row r="1029" spans="1:4" x14ac:dyDescent="0.25">
      <c r="A1029">
        <v>13372</v>
      </c>
      <c r="B1029" t="s">
        <v>124</v>
      </c>
      <c r="C1029">
        <v>34.303333333333335</v>
      </c>
      <c r="D1029" t="s">
        <v>134</v>
      </c>
    </row>
    <row r="1030" spans="1:4" x14ac:dyDescent="0.25">
      <c r="A1030">
        <v>13371</v>
      </c>
      <c r="B1030" t="s">
        <v>124</v>
      </c>
      <c r="C1030">
        <v>24.100952380952382</v>
      </c>
      <c r="D1030" t="s">
        <v>134</v>
      </c>
    </row>
    <row r="1031" spans="1:4" x14ac:dyDescent="0.25">
      <c r="A1031">
        <v>13370</v>
      </c>
      <c r="B1031" t="s">
        <v>124</v>
      </c>
      <c r="C1031">
        <v>0.1</v>
      </c>
      <c r="D1031" t="s">
        <v>134</v>
      </c>
    </row>
    <row r="1032" spans="1:4" x14ac:dyDescent="0.25">
      <c r="A1032">
        <v>13369</v>
      </c>
      <c r="B1032" t="s">
        <v>124</v>
      </c>
      <c r="C1032">
        <v>35.60841666666667</v>
      </c>
      <c r="D1032" t="s">
        <v>134</v>
      </c>
    </row>
    <row r="1033" spans="1:4" x14ac:dyDescent="0.25">
      <c r="A1033">
        <v>13368</v>
      </c>
      <c r="B1033" t="s">
        <v>124</v>
      </c>
      <c r="C1033">
        <v>2.5498599999999998</v>
      </c>
      <c r="D1033" t="s">
        <v>134</v>
      </c>
    </row>
    <row r="1034" spans="1:4" x14ac:dyDescent="0.25">
      <c r="A1034">
        <v>13367</v>
      </c>
      <c r="B1034" t="s">
        <v>124</v>
      </c>
      <c r="C1034">
        <v>26.009533333333334</v>
      </c>
      <c r="D1034" t="s">
        <v>134</v>
      </c>
    </row>
    <row r="1035" spans="1:4" x14ac:dyDescent="0.25">
      <c r="A1035">
        <v>13366</v>
      </c>
      <c r="B1035" t="s">
        <v>124</v>
      </c>
      <c r="C1035">
        <v>57.203800000000001</v>
      </c>
      <c r="D1035" t="s">
        <v>134</v>
      </c>
    </row>
    <row r="1036" spans="1:4" x14ac:dyDescent="0.25">
      <c r="A1036">
        <v>13365</v>
      </c>
      <c r="B1036" t="s">
        <v>124</v>
      </c>
      <c r="C1036">
        <v>2.27325</v>
      </c>
      <c r="D1036" t="s">
        <v>134</v>
      </c>
    </row>
    <row r="1037" spans="1:4" x14ac:dyDescent="0.25">
      <c r="A1037">
        <v>13364</v>
      </c>
      <c r="B1037" t="s">
        <v>124</v>
      </c>
      <c r="C1037">
        <v>9.6</v>
      </c>
      <c r="D1037" t="s">
        <v>134</v>
      </c>
    </row>
    <row r="1038" spans="1:4" x14ac:dyDescent="0.25">
      <c r="A1038">
        <v>13363</v>
      </c>
      <c r="B1038" t="s">
        <v>124</v>
      </c>
      <c r="C1038">
        <v>7</v>
      </c>
      <c r="D1038" t="s">
        <v>134</v>
      </c>
    </row>
    <row r="1039" spans="1:4" x14ac:dyDescent="0.25">
      <c r="A1039">
        <v>13362</v>
      </c>
      <c r="B1039" t="s">
        <v>124</v>
      </c>
      <c r="C1039">
        <v>3.5383933333333331</v>
      </c>
      <c r="D1039" t="s">
        <v>134</v>
      </c>
    </row>
    <row r="1040" spans="1:4" x14ac:dyDescent="0.25">
      <c r="A1040">
        <v>13361</v>
      </c>
      <c r="B1040" t="s">
        <v>124</v>
      </c>
      <c r="C1040">
        <v>3.2359307359307361</v>
      </c>
      <c r="D1040" t="s">
        <v>134</v>
      </c>
    </row>
    <row r="1041" spans="1:4" x14ac:dyDescent="0.25">
      <c r="A1041">
        <v>13360</v>
      </c>
      <c r="B1041" t="s">
        <v>124</v>
      </c>
      <c r="C1041">
        <v>26.36</v>
      </c>
      <c r="D1041" t="s">
        <v>134</v>
      </c>
    </row>
    <row r="1042" spans="1:4" x14ac:dyDescent="0.25">
      <c r="A1042">
        <v>13359</v>
      </c>
      <c r="B1042" t="s">
        <v>124</v>
      </c>
      <c r="C1042">
        <v>5.697402597402597</v>
      </c>
      <c r="D1042" t="s">
        <v>134</v>
      </c>
    </row>
    <row r="1043" spans="1:4" x14ac:dyDescent="0.25">
      <c r="A1043">
        <v>13355</v>
      </c>
      <c r="B1043" t="s">
        <v>124</v>
      </c>
      <c r="C1043">
        <v>28.005744186046513</v>
      </c>
      <c r="D1043" t="s">
        <v>134</v>
      </c>
    </row>
    <row r="1044" spans="1:4" x14ac:dyDescent="0.25">
      <c r="A1044">
        <v>13340</v>
      </c>
      <c r="B1044" t="s">
        <v>124</v>
      </c>
      <c r="C1044">
        <v>5.93</v>
      </c>
      <c r="D1044" t="s">
        <v>134</v>
      </c>
    </row>
    <row r="1045" spans="1:4" x14ac:dyDescent="0.25">
      <c r="A1045">
        <v>13339</v>
      </c>
      <c r="B1045" t="s">
        <v>124</v>
      </c>
      <c r="C1045">
        <v>3.8966666666666665</v>
      </c>
      <c r="D1045" t="s">
        <v>134</v>
      </c>
    </row>
    <row r="1046" spans="1:4" x14ac:dyDescent="0.25">
      <c r="A1046">
        <v>13338</v>
      </c>
      <c r="B1046" t="s">
        <v>124</v>
      </c>
      <c r="C1046">
        <v>35.590000000000003</v>
      </c>
      <c r="D1046" t="s">
        <v>134</v>
      </c>
    </row>
    <row r="1047" spans="1:4" x14ac:dyDescent="0.25">
      <c r="A1047">
        <v>13328</v>
      </c>
      <c r="B1047" t="s">
        <v>124</v>
      </c>
      <c r="C1047">
        <v>12.18</v>
      </c>
      <c r="D1047" t="s">
        <v>134</v>
      </c>
    </row>
    <row r="1048" spans="1:4" x14ac:dyDescent="0.25">
      <c r="A1048">
        <v>13327</v>
      </c>
      <c r="B1048" t="s">
        <v>124</v>
      </c>
      <c r="C1048">
        <v>14</v>
      </c>
      <c r="D1048" t="s">
        <v>134</v>
      </c>
    </row>
    <row r="1049" spans="1:4" x14ac:dyDescent="0.25">
      <c r="A1049">
        <v>13326</v>
      </c>
      <c r="B1049" t="s">
        <v>124</v>
      </c>
      <c r="C1049">
        <v>13.64</v>
      </c>
      <c r="D1049" t="s">
        <v>134</v>
      </c>
    </row>
    <row r="1050" spans="1:4" x14ac:dyDescent="0.25">
      <c r="A1050">
        <v>13325</v>
      </c>
      <c r="B1050" t="s">
        <v>124</v>
      </c>
      <c r="C1050">
        <v>4.3066666666666666</v>
      </c>
      <c r="D1050" t="s">
        <v>134</v>
      </c>
    </row>
    <row r="1051" spans="1:4" x14ac:dyDescent="0.25">
      <c r="A1051">
        <v>13320</v>
      </c>
      <c r="B1051" t="s">
        <v>124</v>
      </c>
      <c r="C1051">
        <v>4.24</v>
      </c>
      <c r="D1051" t="s">
        <v>134</v>
      </c>
    </row>
    <row r="1052" spans="1:4" x14ac:dyDescent="0.25">
      <c r="A1052">
        <v>13319</v>
      </c>
      <c r="B1052" t="s">
        <v>124</v>
      </c>
      <c r="C1052">
        <v>3.8983333333333334</v>
      </c>
      <c r="D1052" t="s">
        <v>134</v>
      </c>
    </row>
    <row r="1053" spans="1:4" x14ac:dyDescent="0.25">
      <c r="A1053">
        <v>13318</v>
      </c>
      <c r="B1053" t="s">
        <v>124</v>
      </c>
      <c r="C1053">
        <v>8.4700000000000006</v>
      </c>
      <c r="D1053" t="s">
        <v>134</v>
      </c>
    </row>
    <row r="1054" spans="1:4" x14ac:dyDescent="0.25">
      <c r="A1054">
        <v>13317</v>
      </c>
      <c r="B1054" t="s">
        <v>124</v>
      </c>
      <c r="C1054">
        <v>16.100000000000001</v>
      </c>
      <c r="D1054" t="s">
        <v>134</v>
      </c>
    </row>
    <row r="1055" spans="1:4" x14ac:dyDescent="0.25">
      <c r="A1055">
        <v>13306</v>
      </c>
      <c r="B1055" t="s">
        <v>125</v>
      </c>
      <c r="C1055">
        <v>2.4190566037735851E-3</v>
      </c>
      <c r="D1055" t="s">
        <v>134</v>
      </c>
    </row>
    <row r="1056" spans="1:4" x14ac:dyDescent="0.25">
      <c r="A1056">
        <v>13306</v>
      </c>
      <c r="B1056" t="s">
        <v>125</v>
      </c>
      <c r="C1056">
        <v>0.1</v>
      </c>
      <c r="D1056" t="s">
        <v>134</v>
      </c>
    </row>
    <row r="1057" spans="1:4" x14ac:dyDescent="0.25">
      <c r="A1057">
        <v>13305</v>
      </c>
      <c r="B1057" t="s">
        <v>125</v>
      </c>
      <c r="C1057">
        <v>1.8939438700147711E-3</v>
      </c>
      <c r="D1057" t="s">
        <v>134</v>
      </c>
    </row>
    <row r="1058" spans="1:4" x14ac:dyDescent="0.25">
      <c r="A1058">
        <v>13305</v>
      </c>
      <c r="B1058" t="s">
        <v>125</v>
      </c>
      <c r="C1058">
        <v>0.1</v>
      </c>
      <c r="D1058" t="s">
        <v>134</v>
      </c>
    </row>
    <row r="1059" spans="1:4" x14ac:dyDescent="0.25">
      <c r="A1059">
        <v>132</v>
      </c>
      <c r="B1059" t="s">
        <v>124</v>
      </c>
      <c r="C1059">
        <v>1.9398</v>
      </c>
      <c r="D1059" t="s">
        <v>134</v>
      </c>
    </row>
    <row r="1060" spans="1:4" x14ac:dyDescent="0.25">
      <c r="A1060">
        <v>13293</v>
      </c>
      <c r="B1060" t="s">
        <v>124</v>
      </c>
      <c r="C1060">
        <v>14.918566666666665</v>
      </c>
      <c r="D1060" t="s">
        <v>134</v>
      </c>
    </row>
    <row r="1061" spans="1:4" x14ac:dyDescent="0.25">
      <c r="A1061">
        <v>13291</v>
      </c>
      <c r="B1061" t="s">
        <v>124</v>
      </c>
      <c r="C1061">
        <v>2.7324333333333333</v>
      </c>
      <c r="D1061" t="s">
        <v>134</v>
      </c>
    </row>
    <row r="1062" spans="1:4" x14ac:dyDescent="0.25">
      <c r="A1062">
        <v>13290</v>
      </c>
      <c r="B1062" t="s">
        <v>124</v>
      </c>
      <c r="C1062">
        <v>3.1783333333333332</v>
      </c>
      <c r="D1062" t="s">
        <v>134</v>
      </c>
    </row>
    <row r="1063" spans="1:4" x14ac:dyDescent="0.25">
      <c r="A1063">
        <v>13289</v>
      </c>
      <c r="B1063" t="s">
        <v>124</v>
      </c>
      <c r="C1063">
        <v>10.859233333333334</v>
      </c>
      <c r="D1063" t="s">
        <v>134</v>
      </c>
    </row>
    <row r="1064" spans="1:4" x14ac:dyDescent="0.25">
      <c r="A1064">
        <v>13288</v>
      </c>
      <c r="B1064" t="s">
        <v>124</v>
      </c>
      <c r="C1064">
        <v>4.0032333333333332</v>
      </c>
      <c r="D1064" t="s">
        <v>134</v>
      </c>
    </row>
    <row r="1065" spans="1:4" x14ac:dyDescent="0.25">
      <c r="A1065">
        <v>13287</v>
      </c>
      <c r="B1065" t="s">
        <v>124</v>
      </c>
      <c r="C1065">
        <v>4.8768000000000002</v>
      </c>
      <c r="D1065" t="s">
        <v>134</v>
      </c>
    </row>
    <row r="1066" spans="1:4" x14ac:dyDescent="0.25">
      <c r="A1066">
        <v>13286</v>
      </c>
      <c r="B1066" t="s">
        <v>124</v>
      </c>
      <c r="C1066">
        <v>0.81933333333333336</v>
      </c>
      <c r="D1066" t="s">
        <v>134</v>
      </c>
    </row>
    <row r="1067" spans="1:4" x14ac:dyDescent="0.25">
      <c r="A1067">
        <v>13285</v>
      </c>
      <c r="B1067" t="s">
        <v>124</v>
      </c>
      <c r="C1067">
        <v>38.756608</v>
      </c>
      <c r="D1067" t="s">
        <v>134</v>
      </c>
    </row>
    <row r="1068" spans="1:4" x14ac:dyDescent="0.25">
      <c r="A1068">
        <v>13278</v>
      </c>
      <c r="B1068" t="s">
        <v>125</v>
      </c>
      <c r="C1068">
        <v>2</v>
      </c>
      <c r="D1068" t="s">
        <v>134</v>
      </c>
    </row>
    <row r="1069" spans="1:4" x14ac:dyDescent="0.25">
      <c r="A1069">
        <v>13277</v>
      </c>
      <c r="B1069" t="s">
        <v>124</v>
      </c>
      <c r="C1069">
        <v>12.448432</v>
      </c>
      <c r="D1069" t="s">
        <v>134</v>
      </c>
    </row>
    <row r="1070" spans="1:4" x14ac:dyDescent="0.25">
      <c r="A1070">
        <v>13276</v>
      </c>
      <c r="B1070" t="s">
        <v>124</v>
      </c>
      <c r="C1070">
        <v>19.583812375249504</v>
      </c>
      <c r="D1070" t="s">
        <v>134</v>
      </c>
    </row>
    <row r="1071" spans="1:4" x14ac:dyDescent="0.25">
      <c r="A1071">
        <v>13275</v>
      </c>
      <c r="B1071" t="s">
        <v>124</v>
      </c>
      <c r="C1071">
        <v>6.9366833333333338</v>
      </c>
      <c r="D1071" t="s">
        <v>134</v>
      </c>
    </row>
    <row r="1072" spans="1:4" x14ac:dyDescent="0.25">
      <c r="A1072">
        <v>13274</v>
      </c>
      <c r="B1072" t="s">
        <v>124</v>
      </c>
      <c r="C1072">
        <v>97.186666666666682</v>
      </c>
      <c r="D1072" t="s">
        <v>134</v>
      </c>
    </row>
    <row r="1073" spans="1:4" x14ac:dyDescent="0.25">
      <c r="A1073">
        <v>13271</v>
      </c>
      <c r="B1073" t="s">
        <v>125</v>
      </c>
      <c r="C1073">
        <v>3.5169999999999999</v>
      </c>
      <c r="D1073" t="s">
        <v>134</v>
      </c>
    </row>
    <row r="1074" spans="1:4" x14ac:dyDescent="0.25">
      <c r="A1074">
        <v>13251</v>
      </c>
      <c r="B1074" t="s">
        <v>124</v>
      </c>
      <c r="C1074">
        <v>2.7873000000000001</v>
      </c>
      <c r="D1074" t="s">
        <v>134</v>
      </c>
    </row>
    <row r="1075" spans="1:4" x14ac:dyDescent="0.25">
      <c r="A1075">
        <v>13250</v>
      </c>
      <c r="B1075" t="s">
        <v>124</v>
      </c>
      <c r="C1075">
        <v>14.780200000000001</v>
      </c>
      <c r="D1075" t="s">
        <v>134</v>
      </c>
    </row>
    <row r="1076" spans="1:4" x14ac:dyDescent="0.25">
      <c r="A1076">
        <v>13249</v>
      </c>
      <c r="B1076" t="s">
        <v>124</v>
      </c>
      <c r="C1076">
        <v>2.7334499999999999</v>
      </c>
      <c r="D1076" t="s">
        <v>134</v>
      </c>
    </row>
    <row r="1077" spans="1:4" x14ac:dyDescent="0.25">
      <c r="A1077">
        <v>13248</v>
      </c>
      <c r="B1077" t="s">
        <v>124</v>
      </c>
      <c r="C1077">
        <v>1.9391714285714285</v>
      </c>
      <c r="D1077" t="s">
        <v>134</v>
      </c>
    </row>
    <row r="1078" spans="1:4" x14ac:dyDescent="0.25">
      <c r="A1078">
        <v>13240</v>
      </c>
      <c r="B1078" t="s">
        <v>124</v>
      </c>
      <c r="C1078">
        <v>16.6356</v>
      </c>
      <c r="D1078" t="s">
        <v>134</v>
      </c>
    </row>
    <row r="1079" spans="1:4" x14ac:dyDescent="0.25">
      <c r="A1079">
        <v>13189</v>
      </c>
      <c r="B1079" t="s">
        <v>125</v>
      </c>
      <c r="C1079">
        <v>5.9299999999999999E-2</v>
      </c>
      <c r="D1079" t="s">
        <v>134</v>
      </c>
    </row>
    <row r="1080" spans="1:4" x14ac:dyDescent="0.25">
      <c r="A1080">
        <v>13188</v>
      </c>
      <c r="B1080" t="s">
        <v>125</v>
      </c>
      <c r="C1080">
        <v>6.7699999999999996E-2</v>
      </c>
      <c r="D1080" t="s">
        <v>134</v>
      </c>
    </row>
    <row r="1081" spans="1:4" x14ac:dyDescent="0.25">
      <c r="A1081">
        <v>13170</v>
      </c>
      <c r="B1081" t="s">
        <v>125</v>
      </c>
      <c r="C1081">
        <v>37.716000000000001</v>
      </c>
      <c r="D1081" t="s">
        <v>134</v>
      </c>
    </row>
    <row r="1082" spans="1:4" x14ac:dyDescent="0.25">
      <c r="A1082">
        <v>13165</v>
      </c>
      <c r="B1082" t="s">
        <v>124</v>
      </c>
      <c r="C1082">
        <v>19.116425</v>
      </c>
      <c r="D1082" t="s">
        <v>134</v>
      </c>
    </row>
    <row r="1083" spans="1:4" x14ac:dyDescent="0.25">
      <c r="A1083">
        <v>13164</v>
      </c>
      <c r="B1083" t="s">
        <v>124</v>
      </c>
      <c r="C1083">
        <v>29.28105</v>
      </c>
      <c r="D1083" t="s">
        <v>134</v>
      </c>
    </row>
    <row r="1084" spans="1:4" x14ac:dyDescent="0.25">
      <c r="A1084">
        <v>13163</v>
      </c>
      <c r="B1084" t="s">
        <v>124</v>
      </c>
      <c r="C1084">
        <v>42</v>
      </c>
      <c r="D1084" t="s">
        <v>134</v>
      </c>
    </row>
    <row r="1085" spans="1:4" x14ac:dyDescent="0.25">
      <c r="A1085">
        <v>13163</v>
      </c>
      <c r="B1085" t="s">
        <v>124</v>
      </c>
      <c r="C1085">
        <v>42</v>
      </c>
      <c r="D1085" t="s">
        <v>134</v>
      </c>
    </row>
    <row r="1086" spans="1:4" x14ac:dyDescent="0.25">
      <c r="A1086">
        <v>13158</v>
      </c>
      <c r="B1086" t="s">
        <v>125</v>
      </c>
      <c r="C1086">
        <v>1.4</v>
      </c>
      <c r="D1086" t="s">
        <v>134</v>
      </c>
    </row>
    <row r="1087" spans="1:4" x14ac:dyDescent="0.25">
      <c r="A1087">
        <v>13157</v>
      </c>
      <c r="B1087" t="s">
        <v>124</v>
      </c>
      <c r="C1087">
        <v>52.613860000000003</v>
      </c>
      <c r="D1087" t="s">
        <v>134</v>
      </c>
    </row>
    <row r="1088" spans="1:4" x14ac:dyDescent="0.25">
      <c r="A1088">
        <v>13156</v>
      </c>
      <c r="B1088" t="s">
        <v>124</v>
      </c>
      <c r="C1088">
        <v>43.835999999999999</v>
      </c>
      <c r="D1088" t="s">
        <v>134</v>
      </c>
    </row>
    <row r="1089" spans="1:4" x14ac:dyDescent="0.25">
      <c r="A1089">
        <v>13155</v>
      </c>
      <c r="B1089" t="s">
        <v>126</v>
      </c>
      <c r="C1089">
        <v>4.24</v>
      </c>
      <c r="D1089" t="s">
        <v>134</v>
      </c>
    </row>
    <row r="1090" spans="1:4" x14ac:dyDescent="0.25">
      <c r="A1090">
        <v>13137</v>
      </c>
      <c r="B1090" t="s">
        <v>124</v>
      </c>
      <c r="C1090">
        <v>24.58</v>
      </c>
      <c r="D1090" t="s">
        <v>134</v>
      </c>
    </row>
    <row r="1091" spans="1:4" x14ac:dyDescent="0.25">
      <c r="A1091">
        <v>13136</v>
      </c>
      <c r="B1091" t="s">
        <v>124</v>
      </c>
      <c r="C1091">
        <v>10.182</v>
      </c>
      <c r="D1091" t="s">
        <v>134</v>
      </c>
    </row>
    <row r="1092" spans="1:4" x14ac:dyDescent="0.25">
      <c r="A1092">
        <v>13135</v>
      </c>
      <c r="B1092" t="s">
        <v>124</v>
      </c>
      <c r="C1092">
        <v>6.8267999999999995</v>
      </c>
      <c r="D1092" t="s">
        <v>134</v>
      </c>
    </row>
    <row r="1093" spans="1:4" x14ac:dyDescent="0.25">
      <c r="A1093">
        <v>13134</v>
      </c>
      <c r="B1093" t="s">
        <v>124</v>
      </c>
      <c r="C1093">
        <v>7.1212000000000009</v>
      </c>
      <c r="D1093" t="s">
        <v>134</v>
      </c>
    </row>
    <row r="1094" spans="1:4" x14ac:dyDescent="0.25">
      <c r="A1094">
        <v>13133</v>
      </c>
      <c r="B1094" t="s">
        <v>124</v>
      </c>
      <c r="C1094">
        <v>1.2746</v>
      </c>
      <c r="D1094" t="s">
        <v>134</v>
      </c>
    </row>
    <row r="1095" spans="1:4" x14ac:dyDescent="0.25">
      <c r="A1095">
        <v>13132</v>
      </c>
      <c r="B1095" t="s">
        <v>125</v>
      </c>
      <c r="C1095">
        <v>0.94049999999999989</v>
      </c>
      <c r="D1095" t="s">
        <v>134</v>
      </c>
    </row>
    <row r="1096" spans="1:4" x14ac:dyDescent="0.25">
      <c r="A1096">
        <v>13131</v>
      </c>
      <c r="B1096" t="s">
        <v>125</v>
      </c>
      <c r="C1096">
        <v>0.94049999999999989</v>
      </c>
      <c r="D1096" t="s">
        <v>134</v>
      </c>
    </row>
    <row r="1097" spans="1:4" x14ac:dyDescent="0.25">
      <c r="A1097">
        <v>13130</v>
      </c>
      <c r="B1097" t="s">
        <v>125</v>
      </c>
      <c r="C1097">
        <v>0.94049999999999989</v>
      </c>
      <c r="D1097" t="s">
        <v>134</v>
      </c>
    </row>
    <row r="1098" spans="1:4" x14ac:dyDescent="0.25">
      <c r="A1098">
        <v>13129</v>
      </c>
      <c r="B1098" t="s">
        <v>125</v>
      </c>
      <c r="C1098">
        <v>0.94049999999999989</v>
      </c>
      <c r="D1098" t="s">
        <v>134</v>
      </c>
    </row>
    <row r="1099" spans="1:4" x14ac:dyDescent="0.25">
      <c r="A1099">
        <v>13115</v>
      </c>
      <c r="B1099" t="s">
        <v>125</v>
      </c>
      <c r="C1099">
        <v>0.94049999999999989</v>
      </c>
      <c r="D1099" t="s">
        <v>134</v>
      </c>
    </row>
    <row r="1100" spans="1:4" x14ac:dyDescent="0.25">
      <c r="A1100">
        <v>13114</v>
      </c>
      <c r="B1100" t="s">
        <v>125</v>
      </c>
      <c r="C1100">
        <v>0.94049999999999989</v>
      </c>
      <c r="D1100" t="s">
        <v>134</v>
      </c>
    </row>
    <row r="1101" spans="1:4" x14ac:dyDescent="0.25">
      <c r="A1101">
        <v>13113</v>
      </c>
      <c r="B1101" t="s">
        <v>125</v>
      </c>
      <c r="C1101">
        <v>0.94049999999999989</v>
      </c>
      <c r="D1101" t="s">
        <v>134</v>
      </c>
    </row>
    <row r="1102" spans="1:4" x14ac:dyDescent="0.25">
      <c r="A1102">
        <v>13112</v>
      </c>
      <c r="B1102" t="s">
        <v>125</v>
      </c>
      <c r="C1102">
        <v>0.94049999999999989</v>
      </c>
      <c r="D1102" t="s">
        <v>134</v>
      </c>
    </row>
    <row r="1103" spans="1:4" x14ac:dyDescent="0.25">
      <c r="A1103">
        <v>13111</v>
      </c>
      <c r="B1103" t="s">
        <v>125</v>
      </c>
      <c r="C1103">
        <v>0.94049999999999989</v>
      </c>
      <c r="D1103" t="s">
        <v>134</v>
      </c>
    </row>
    <row r="1104" spans="1:4" x14ac:dyDescent="0.25">
      <c r="A1104">
        <v>13110</v>
      </c>
      <c r="B1104" t="s">
        <v>125</v>
      </c>
      <c r="C1104">
        <v>0.94049999999999989</v>
      </c>
      <c r="D1104" t="s">
        <v>134</v>
      </c>
    </row>
    <row r="1105" spans="1:4" x14ac:dyDescent="0.25">
      <c r="A1105">
        <v>13109</v>
      </c>
      <c r="B1105" t="s">
        <v>125</v>
      </c>
      <c r="C1105">
        <v>0.94100000000000006</v>
      </c>
      <c r="D1105" t="s">
        <v>134</v>
      </c>
    </row>
    <row r="1106" spans="1:4" x14ac:dyDescent="0.25">
      <c r="A1106">
        <v>13108</v>
      </c>
      <c r="B1106" t="s">
        <v>125</v>
      </c>
      <c r="C1106">
        <v>0.94100000000000006</v>
      </c>
      <c r="D1106" t="s">
        <v>134</v>
      </c>
    </row>
    <row r="1107" spans="1:4" x14ac:dyDescent="0.25">
      <c r="A1107">
        <v>13107</v>
      </c>
      <c r="B1107" t="s">
        <v>125</v>
      </c>
      <c r="C1107">
        <v>0.94049999999999989</v>
      </c>
      <c r="D1107" t="s">
        <v>134</v>
      </c>
    </row>
    <row r="1108" spans="1:4" x14ac:dyDescent="0.25">
      <c r="A1108">
        <v>13106</v>
      </c>
      <c r="B1108" t="s">
        <v>125</v>
      </c>
      <c r="C1108">
        <v>0.94049999999999989</v>
      </c>
      <c r="D1108" t="s">
        <v>134</v>
      </c>
    </row>
    <row r="1109" spans="1:4" x14ac:dyDescent="0.25">
      <c r="A1109">
        <v>13105</v>
      </c>
      <c r="B1109" t="s">
        <v>125</v>
      </c>
      <c r="C1109">
        <v>1.1017000000000001</v>
      </c>
      <c r="D1109" t="s">
        <v>134</v>
      </c>
    </row>
    <row r="1110" spans="1:4" x14ac:dyDescent="0.25">
      <c r="A1110">
        <v>13104</v>
      </c>
      <c r="B1110" t="s">
        <v>125</v>
      </c>
      <c r="C1110">
        <v>1.1017000000000001</v>
      </c>
      <c r="D1110" t="s">
        <v>134</v>
      </c>
    </row>
    <row r="1111" spans="1:4" x14ac:dyDescent="0.25">
      <c r="A1111">
        <v>13103</v>
      </c>
      <c r="B1111" t="s">
        <v>125</v>
      </c>
      <c r="C1111">
        <v>1.1017000000000001</v>
      </c>
      <c r="D1111" t="s">
        <v>134</v>
      </c>
    </row>
    <row r="1112" spans="1:4" x14ac:dyDescent="0.25">
      <c r="A1112">
        <v>130</v>
      </c>
      <c r="B1112" t="s">
        <v>124</v>
      </c>
      <c r="C1112">
        <v>4.24</v>
      </c>
      <c r="D1112" t="s">
        <v>134</v>
      </c>
    </row>
    <row r="1113" spans="1:4" x14ac:dyDescent="0.25">
      <c r="A1113">
        <v>13091</v>
      </c>
      <c r="B1113" t="s">
        <v>124</v>
      </c>
      <c r="C1113">
        <v>14.41</v>
      </c>
      <c r="D1113" t="s">
        <v>134</v>
      </c>
    </row>
    <row r="1114" spans="1:4" x14ac:dyDescent="0.25">
      <c r="A1114">
        <v>13090</v>
      </c>
      <c r="B1114" t="s">
        <v>124</v>
      </c>
      <c r="C1114">
        <v>67.796000000000006</v>
      </c>
      <c r="D1114" t="s">
        <v>134</v>
      </c>
    </row>
    <row r="1115" spans="1:4" x14ac:dyDescent="0.25">
      <c r="A1115">
        <v>13089</v>
      </c>
      <c r="B1115" t="s">
        <v>124</v>
      </c>
      <c r="C1115">
        <v>21.19</v>
      </c>
      <c r="D1115" t="s">
        <v>134</v>
      </c>
    </row>
    <row r="1116" spans="1:4" x14ac:dyDescent="0.25">
      <c r="A1116">
        <v>13088</v>
      </c>
      <c r="B1116" t="s">
        <v>124</v>
      </c>
      <c r="C1116">
        <v>254.24</v>
      </c>
      <c r="D1116" t="s">
        <v>134</v>
      </c>
    </row>
    <row r="1117" spans="1:4" x14ac:dyDescent="0.25">
      <c r="A1117">
        <v>13008</v>
      </c>
      <c r="B1117" t="s">
        <v>124</v>
      </c>
      <c r="C1117">
        <v>1.4126428571428573</v>
      </c>
      <c r="D1117" t="s">
        <v>134</v>
      </c>
    </row>
    <row r="1118" spans="1:4" x14ac:dyDescent="0.25">
      <c r="A1118">
        <v>13007</v>
      </c>
      <c r="B1118" t="s">
        <v>124</v>
      </c>
      <c r="C1118">
        <v>1.6510363636363636</v>
      </c>
      <c r="D1118" t="s">
        <v>134</v>
      </c>
    </row>
    <row r="1119" spans="1:4" x14ac:dyDescent="0.25">
      <c r="A1119">
        <v>13006</v>
      </c>
      <c r="B1119" t="s">
        <v>124</v>
      </c>
      <c r="C1119">
        <v>0.72081084337349399</v>
      </c>
      <c r="D1119" t="s">
        <v>134</v>
      </c>
    </row>
    <row r="1120" spans="1:4" x14ac:dyDescent="0.25">
      <c r="A1120">
        <v>13005</v>
      </c>
      <c r="B1120" t="s">
        <v>124</v>
      </c>
      <c r="C1120">
        <v>3.3685856164383559</v>
      </c>
      <c r="D1120" t="s">
        <v>134</v>
      </c>
    </row>
    <row r="1121" spans="1:4" x14ac:dyDescent="0.25">
      <c r="A1121">
        <v>13004</v>
      </c>
      <c r="B1121" t="s">
        <v>124</v>
      </c>
      <c r="C1121">
        <v>0.9827232142857143</v>
      </c>
      <c r="D1121" t="s">
        <v>134</v>
      </c>
    </row>
    <row r="1122" spans="1:4" x14ac:dyDescent="0.25">
      <c r="A1122">
        <v>13003</v>
      </c>
      <c r="B1122" t="s">
        <v>124</v>
      </c>
      <c r="C1122">
        <v>1.3926333333333334</v>
      </c>
      <c r="D1122" t="s">
        <v>134</v>
      </c>
    </row>
    <row r="1123" spans="1:4" x14ac:dyDescent="0.25">
      <c r="A1123">
        <v>13001</v>
      </c>
      <c r="B1123" t="s">
        <v>125</v>
      </c>
      <c r="C1123">
        <v>3.39</v>
      </c>
      <c r="D1123" t="s">
        <v>134</v>
      </c>
    </row>
    <row r="1124" spans="1:4" x14ac:dyDescent="0.25">
      <c r="A1124">
        <v>129</v>
      </c>
      <c r="B1124" t="s">
        <v>124</v>
      </c>
      <c r="C1124">
        <v>47.456666666666671</v>
      </c>
      <c r="D1124" t="s">
        <v>134</v>
      </c>
    </row>
    <row r="1125" spans="1:4" x14ac:dyDescent="0.25">
      <c r="A1125">
        <v>12987</v>
      </c>
      <c r="B1125" t="s">
        <v>124</v>
      </c>
      <c r="C1125">
        <v>3.7317499999999999</v>
      </c>
      <c r="D1125" t="s">
        <v>134</v>
      </c>
    </row>
    <row r="1126" spans="1:4" x14ac:dyDescent="0.25">
      <c r="A1126">
        <v>12986</v>
      </c>
      <c r="B1126" t="s">
        <v>124</v>
      </c>
      <c r="C1126">
        <v>10.102275000000001</v>
      </c>
      <c r="D1126" t="s">
        <v>134</v>
      </c>
    </row>
    <row r="1127" spans="1:4" x14ac:dyDescent="0.25">
      <c r="A1127">
        <v>12985</v>
      </c>
      <c r="B1127" t="s">
        <v>124</v>
      </c>
      <c r="C1127">
        <v>4.7527330882352947</v>
      </c>
      <c r="D1127" t="s">
        <v>134</v>
      </c>
    </row>
    <row r="1128" spans="1:4" x14ac:dyDescent="0.25">
      <c r="A1128">
        <v>12983</v>
      </c>
      <c r="B1128" t="s">
        <v>124</v>
      </c>
      <c r="C1128">
        <v>6.998383333333333</v>
      </c>
      <c r="D1128" t="s">
        <v>134</v>
      </c>
    </row>
    <row r="1129" spans="1:4" x14ac:dyDescent="0.25">
      <c r="A1129">
        <v>12982</v>
      </c>
      <c r="B1129" t="s">
        <v>124</v>
      </c>
      <c r="C1129">
        <v>16.483766666666668</v>
      </c>
      <c r="D1129" t="s">
        <v>134</v>
      </c>
    </row>
    <row r="1130" spans="1:4" x14ac:dyDescent="0.25">
      <c r="A1130">
        <v>12981</v>
      </c>
      <c r="B1130" t="s">
        <v>124</v>
      </c>
      <c r="C1130">
        <v>4.5241799999999994</v>
      </c>
      <c r="D1130" t="s">
        <v>134</v>
      </c>
    </row>
    <row r="1131" spans="1:4" x14ac:dyDescent="0.25">
      <c r="A1131">
        <v>12979</v>
      </c>
      <c r="B1131" t="s">
        <v>124</v>
      </c>
      <c r="C1131">
        <v>5.1683199999999996</v>
      </c>
      <c r="D1131" t="s">
        <v>134</v>
      </c>
    </row>
    <row r="1132" spans="1:4" x14ac:dyDescent="0.25">
      <c r="A1132">
        <v>12978</v>
      </c>
      <c r="B1132" t="s">
        <v>124</v>
      </c>
      <c r="C1132">
        <v>91.094674999999995</v>
      </c>
      <c r="D1132" t="s">
        <v>134</v>
      </c>
    </row>
    <row r="1133" spans="1:4" x14ac:dyDescent="0.25">
      <c r="A1133">
        <v>12977</v>
      </c>
      <c r="B1133" t="s">
        <v>124</v>
      </c>
      <c r="C1133">
        <v>72.03</v>
      </c>
      <c r="D1133" t="s">
        <v>134</v>
      </c>
    </row>
    <row r="1134" spans="1:4" x14ac:dyDescent="0.25">
      <c r="A1134">
        <v>12975</v>
      </c>
      <c r="B1134" t="s">
        <v>124</v>
      </c>
      <c r="C1134">
        <v>8.3899999999999988</v>
      </c>
      <c r="D1134" t="s">
        <v>134</v>
      </c>
    </row>
    <row r="1135" spans="1:4" x14ac:dyDescent="0.25">
      <c r="A1135">
        <v>12969</v>
      </c>
      <c r="B1135" t="s">
        <v>125</v>
      </c>
      <c r="C1135">
        <v>1.222056</v>
      </c>
      <c r="D1135" t="s">
        <v>134</v>
      </c>
    </row>
    <row r="1136" spans="1:4" x14ac:dyDescent="0.25">
      <c r="A1136">
        <v>12968</v>
      </c>
      <c r="B1136" t="s">
        <v>125</v>
      </c>
      <c r="C1136">
        <v>18.645</v>
      </c>
      <c r="D1136" t="s">
        <v>134</v>
      </c>
    </row>
    <row r="1137" spans="1:4" x14ac:dyDescent="0.25">
      <c r="A1137">
        <v>12967</v>
      </c>
      <c r="B1137" t="s">
        <v>125</v>
      </c>
      <c r="C1137">
        <v>39.407499999999999</v>
      </c>
      <c r="D1137" t="s">
        <v>134</v>
      </c>
    </row>
    <row r="1138" spans="1:4" x14ac:dyDescent="0.25">
      <c r="A1138">
        <v>12958</v>
      </c>
      <c r="B1138" t="s">
        <v>124</v>
      </c>
      <c r="C1138">
        <v>12.18</v>
      </c>
      <c r="D1138" t="s">
        <v>134</v>
      </c>
    </row>
    <row r="1139" spans="1:4" x14ac:dyDescent="0.25">
      <c r="A1139">
        <v>12957</v>
      </c>
      <c r="B1139" t="s">
        <v>125</v>
      </c>
      <c r="C1139">
        <v>84.75</v>
      </c>
      <c r="D1139" t="s">
        <v>134</v>
      </c>
    </row>
    <row r="1140" spans="1:4" x14ac:dyDescent="0.25">
      <c r="A1140">
        <v>1293</v>
      </c>
      <c r="B1140" t="s">
        <v>124</v>
      </c>
      <c r="C1140">
        <v>4.8713671539122956</v>
      </c>
      <c r="D1140" t="s">
        <v>134</v>
      </c>
    </row>
    <row r="1141" spans="1:4" x14ac:dyDescent="0.25">
      <c r="A1141">
        <v>12938</v>
      </c>
      <c r="B1141" t="s">
        <v>125</v>
      </c>
      <c r="C1141">
        <v>1.2745759999999999</v>
      </c>
      <c r="D1141" t="s">
        <v>134</v>
      </c>
    </row>
    <row r="1142" spans="1:4" x14ac:dyDescent="0.25">
      <c r="A1142">
        <v>12938</v>
      </c>
      <c r="B1142" t="s">
        <v>125</v>
      </c>
      <c r="C1142">
        <v>0.65379999999999994</v>
      </c>
      <c r="D1142" t="s">
        <v>134</v>
      </c>
    </row>
    <row r="1143" spans="1:4" x14ac:dyDescent="0.25">
      <c r="A1143">
        <v>12937</v>
      </c>
      <c r="B1143" t="s">
        <v>125</v>
      </c>
      <c r="C1143">
        <v>1.4869699999999999</v>
      </c>
      <c r="D1143" t="s">
        <v>134</v>
      </c>
    </row>
    <row r="1144" spans="1:4" x14ac:dyDescent="0.25">
      <c r="A1144">
        <v>12937</v>
      </c>
      <c r="B1144" t="s">
        <v>125</v>
      </c>
      <c r="C1144">
        <v>1.2710999999999999</v>
      </c>
      <c r="D1144" t="s">
        <v>134</v>
      </c>
    </row>
    <row r="1145" spans="1:4" x14ac:dyDescent="0.25">
      <c r="A1145">
        <v>12917</v>
      </c>
      <c r="B1145" t="s">
        <v>125</v>
      </c>
      <c r="C1145">
        <v>27.1175</v>
      </c>
      <c r="D1145" t="s">
        <v>134</v>
      </c>
    </row>
    <row r="1146" spans="1:4" x14ac:dyDescent="0.25">
      <c r="A1146">
        <v>12870</v>
      </c>
      <c r="B1146" t="s">
        <v>124</v>
      </c>
      <c r="C1146">
        <v>47.322000000000003</v>
      </c>
      <c r="D1146" t="s">
        <v>134</v>
      </c>
    </row>
    <row r="1147" spans="1:4" x14ac:dyDescent="0.25">
      <c r="A1147">
        <v>12867</v>
      </c>
      <c r="B1147" t="s">
        <v>124</v>
      </c>
      <c r="C1147">
        <v>10.59</v>
      </c>
      <c r="D1147" t="s">
        <v>134</v>
      </c>
    </row>
    <row r="1148" spans="1:4" x14ac:dyDescent="0.25">
      <c r="A1148">
        <v>12866</v>
      </c>
      <c r="B1148" t="s">
        <v>124</v>
      </c>
      <c r="C1148">
        <v>39.67</v>
      </c>
      <c r="D1148" t="s">
        <v>134</v>
      </c>
    </row>
    <row r="1149" spans="1:4" x14ac:dyDescent="0.25">
      <c r="A1149">
        <v>12856</v>
      </c>
      <c r="B1149" t="s">
        <v>124</v>
      </c>
      <c r="C1149">
        <v>15.763014285714286</v>
      </c>
      <c r="D1149" t="s">
        <v>134</v>
      </c>
    </row>
    <row r="1150" spans="1:4" x14ac:dyDescent="0.25">
      <c r="A1150">
        <v>12855</v>
      </c>
      <c r="B1150" t="s">
        <v>124</v>
      </c>
      <c r="C1150">
        <v>18.102799999999998</v>
      </c>
      <c r="D1150" t="s">
        <v>134</v>
      </c>
    </row>
    <row r="1151" spans="1:4" x14ac:dyDescent="0.25">
      <c r="A1151">
        <v>12852</v>
      </c>
      <c r="B1151" t="s">
        <v>125</v>
      </c>
      <c r="C1151">
        <v>73.47</v>
      </c>
      <c r="D1151" t="s">
        <v>134</v>
      </c>
    </row>
    <row r="1152" spans="1:4" x14ac:dyDescent="0.25">
      <c r="A1152">
        <v>12851</v>
      </c>
      <c r="B1152" t="s">
        <v>28</v>
      </c>
      <c r="C1152">
        <v>3</v>
      </c>
      <c r="D1152" t="s">
        <v>134</v>
      </c>
    </row>
    <row r="1153" spans="1:4" x14ac:dyDescent="0.25">
      <c r="A1153">
        <v>12849</v>
      </c>
      <c r="B1153" t="s">
        <v>124</v>
      </c>
      <c r="C1153">
        <v>101.69</v>
      </c>
      <c r="D1153" t="s">
        <v>134</v>
      </c>
    </row>
    <row r="1154" spans="1:4" x14ac:dyDescent="0.25">
      <c r="A1154">
        <v>12848</v>
      </c>
      <c r="B1154" t="s">
        <v>124</v>
      </c>
      <c r="C1154">
        <v>84.75</v>
      </c>
      <c r="D1154" t="s">
        <v>134</v>
      </c>
    </row>
    <row r="1155" spans="1:4" x14ac:dyDescent="0.25">
      <c r="A1155">
        <v>12847</v>
      </c>
      <c r="B1155" t="s">
        <v>124</v>
      </c>
      <c r="C1155">
        <v>85.17</v>
      </c>
      <c r="D1155" t="s">
        <v>134</v>
      </c>
    </row>
    <row r="1156" spans="1:4" x14ac:dyDescent="0.25">
      <c r="A1156">
        <v>12846</v>
      </c>
      <c r="B1156" t="s">
        <v>124</v>
      </c>
      <c r="C1156">
        <v>67.8</v>
      </c>
      <c r="D1156" t="s">
        <v>134</v>
      </c>
    </row>
    <row r="1157" spans="1:4" x14ac:dyDescent="0.25">
      <c r="A1157">
        <v>12835</v>
      </c>
      <c r="B1157" t="s">
        <v>124</v>
      </c>
      <c r="C1157">
        <v>9.3519999999999992E-2</v>
      </c>
      <c r="D1157" t="s">
        <v>134</v>
      </c>
    </row>
    <row r="1158" spans="1:4" x14ac:dyDescent="0.25">
      <c r="A1158">
        <v>12830</v>
      </c>
      <c r="B1158" t="s">
        <v>124</v>
      </c>
      <c r="C1158">
        <v>0.16031999999999999</v>
      </c>
      <c r="D1158" t="s">
        <v>134</v>
      </c>
    </row>
    <row r="1159" spans="1:4" x14ac:dyDescent="0.25">
      <c r="A1159">
        <v>12829</v>
      </c>
      <c r="B1159" t="s">
        <v>124</v>
      </c>
      <c r="C1159">
        <v>9.3599999999999989E-2</v>
      </c>
      <c r="D1159" t="s">
        <v>134</v>
      </c>
    </row>
    <row r="1160" spans="1:4" x14ac:dyDescent="0.25">
      <c r="A1160">
        <v>12828</v>
      </c>
      <c r="B1160" t="s">
        <v>124</v>
      </c>
      <c r="C1160">
        <v>0.15052000000000001</v>
      </c>
      <c r="D1160" t="s">
        <v>134</v>
      </c>
    </row>
    <row r="1161" spans="1:4" x14ac:dyDescent="0.25">
      <c r="A1161">
        <v>12827</v>
      </c>
      <c r="B1161" t="s">
        <v>124</v>
      </c>
      <c r="C1161">
        <v>40.68</v>
      </c>
      <c r="D1161" t="s">
        <v>134</v>
      </c>
    </row>
    <row r="1162" spans="1:4" x14ac:dyDescent="0.25">
      <c r="A1162">
        <v>12826</v>
      </c>
      <c r="B1162" t="s">
        <v>124</v>
      </c>
      <c r="C1162">
        <v>1271.2</v>
      </c>
      <c r="D1162" t="s">
        <v>134</v>
      </c>
    </row>
    <row r="1163" spans="1:4" x14ac:dyDescent="0.25">
      <c r="A1163">
        <v>12825</v>
      </c>
      <c r="B1163" t="s">
        <v>125</v>
      </c>
      <c r="C1163">
        <v>5.085</v>
      </c>
      <c r="D1163" t="s">
        <v>134</v>
      </c>
    </row>
    <row r="1164" spans="1:4" x14ac:dyDescent="0.25">
      <c r="A1164">
        <v>12824</v>
      </c>
      <c r="B1164" t="s">
        <v>124</v>
      </c>
      <c r="C1164">
        <v>33.5</v>
      </c>
      <c r="D1164" t="s">
        <v>134</v>
      </c>
    </row>
    <row r="1165" spans="1:4" x14ac:dyDescent="0.25">
      <c r="A1165">
        <v>12820</v>
      </c>
      <c r="B1165" t="s">
        <v>125</v>
      </c>
      <c r="C1165">
        <v>10.593</v>
      </c>
      <c r="D1165" t="s">
        <v>134</v>
      </c>
    </row>
    <row r="1166" spans="1:4" x14ac:dyDescent="0.25">
      <c r="A1166">
        <v>12819</v>
      </c>
      <c r="B1166" t="s">
        <v>125</v>
      </c>
      <c r="C1166">
        <v>5.9325000000000001</v>
      </c>
      <c r="D1166" t="s">
        <v>134</v>
      </c>
    </row>
    <row r="1167" spans="1:4" x14ac:dyDescent="0.25">
      <c r="A1167">
        <v>12818</v>
      </c>
      <c r="B1167" t="s">
        <v>125</v>
      </c>
      <c r="C1167">
        <v>12.711666666666666</v>
      </c>
      <c r="D1167" t="s">
        <v>134</v>
      </c>
    </row>
    <row r="1168" spans="1:4" x14ac:dyDescent="0.25">
      <c r="A1168">
        <v>12817</v>
      </c>
      <c r="B1168" t="s">
        <v>124</v>
      </c>
      <c r="C1168">
        <v>51.27</v>
      </c>
      <c r="D1168" t="s">
        <v>134</v>
      </c>
    </row>
    <row r="1169" spans="1:4" x14ac:dyDescent="0.25">
      <c r="A1169">
        <v>12816</v>
      </c>
      <c r="B1169" t="s">
        <v>125</v>
      </c>
      <c r="C1169">
        <v>13.56</v>
      </c>
      <c r="D1169" t="s">
        <v>134</v>
      </c>
    </row>
    <row r="1170" spans="1:4" x14ac:dyDescent="0.25">
      <c r="A1170">
        <v>12815</v>
      </c>
      <c r="B1170" t="s">
        <v>125</v>
      </c>
      <c r="C1170">
        <v>13.305333333333333</v>
      </c>
      <c r="D1170" t="s">
        <v>134</v>
      </c>
    </row>
    <row r="1171" spans="1:4" x14ac:dyDescent="0.25">
      <c r="A1171">
        <v>12814</v>
      </c>
      <c r="B1171" t="s">
        <v>125</v>
      </c>
      <c r="C1171">
        <v>42</v>
      </c>
      <c r="D1171" t="s">
        <v>134</v>
      </c>
    </row>
    <row r="1172" spans="1:4" x14ac:dyDescent="0.25">
      <c r="A1172">
        <v>12812</v>
      </c>
      <c r="B1172" t="s">
        <v>124</v>
      </c>
      <c r="C1172">
        <v>2.2635640000000001</v>
      </c>
      <c r="D1172" t="s">
        <v>134</v>
      </c>
    </row>
    <row r="1173" spans="1:4" x14ac:dyDescent="0.25">
      <c r="A1173">
        <v>12811</v>
      </c>
      <c r="B1173" t="s">
        <v>124</v>
      </c>
      <c r="C1173">
        <v>1.5239244444444444</v>
      </c>
      <c r="D1173" t="s">
        <v>134</v>
      </c>
    </row>
    <row r="1174" spans="1:4" x14ac:dyDescent="0.25">
      <c r="A1174">
        <v>12810</v>
      </c>
      <c r="B1174" t="s">
        <v>124</v>
      </c>
      <c r="C1174">
        <v>22.061999999999998</v>
      </c>
      <c r="D1174" t="s">
        <v>134</v>
      </c>
    </row>
    <row r="1175" spans="1:4" x14ac:dyDescent="0.25">
      <c r="A1175">
        <v>12808</v>
      </c>
      <c r="B1175" t="s">
        <v>124</v>
      </c>
      <c r="C1175">
        <v>3.4298692307692304</v>
      </c>
      <c r="D1175" t="s">
        <v>134</v>
      </c>
    </row>
    <row r="1176" spans="1:4" x14ac:dyDescent="0.25">
      <c r="A1176">
        <v>12807</v>
      </c>
      <c r="B1176" t="s">
        <v>124</v>
      </c>
      <c r="C1176">
        <v>1.1130521739130435</v>
      </c>
      <c r="D1176" t="s">
        <v>134</v>
      </c>
    </row>
    <row r="1177" spans="1:4" x14ac:dyDescent="0.25">
      <c r="A1177">
        <v>12804</v>
      </c>
      <c r="B1177" t="s">
        <v>125</v>
      </c>
      <c r="C1177">
        <v>29.66</v>
      </c>
      <c r="D1177" t="s">
        <v>134</v>
      </c>
    </row>
    <row r="1178" spans="1:4" x14ac:dyDescent="0.25">
      <c r="A1178">
        <v>12803</v>
      </c>
      <c r="B1178" t="s">
        <v>124</v>
      </c>
      <c r="C1178">
        <v>15</v>
      </c>
      <c r="D1178" t="s">
        <v>134</v>
      </c>
    </row>
    <row r="1179" spans="1:4" x14ac:dyDescent="0.25">
      <c r="A1179">
        <v>12802</v>
      </c>
      <c r="B1179" t="s">
        <v>125</v>
      </c>
      <c r="C1179">
        <v>7.203214285714286</v>
      </c>
      <c r="D1179" t="s">
        <v>134</v>
      </c>
    </row>
    <row r="1180" spans="1:4" x14ac:dyDescent="0.25">
      <c r="A1180">
        <v>127</v>
      </c>
      <c r="B1180" t="s">
        <v>124</v>
      </c>
      <c r="C1180">
        <v>10</v>
      </c>
      <c r="D1180" t="s">
        <v>134</v>
      </c>
    </row>
    <row r="1181" spans="1:4" x14ac:dyDescent="0.25">
      <c r="A1181">
        <v>12778</v>
      </c>
      <c r="B1181" t="s">
        <v>124</v>
      </c>
      <c r="C1181">
        <v>0.43209743589743593</v>
      </c>
      <c r="D1181" t="s">
        <v>134</v>
      </c>
    </row>
    <row r="1182" spans="1:4" x14ac:dyDescent="0.25">
      <c r="A1182">
        <v>12771</v>
      </c>
      <c r="B1182" t="s">
        <v>124</v>
      </c>
      <c r="C1182">
        <v>11.207026923076922</v>
      </c>
      <c r="D1182" t="s">
        <v>134</v>
      </c>
    </row>
    <row r="1183" spans="1:4" x14ac:dyDescent="0.25">
      <c r="A1183">
        <v>12760</v>
      </c>
      <c r="B1183" t="s">
        <v>124</v>
      </c>
      <c r="C1183">
        <v>10.309166666666668</v>
      </c>
      <c r="D1183" t="s">
        <v>134</v>
      </c>
    </row>
    <row r="1184" spans="1:4" x14ac:dyDescent="0.25">
      <c r="A1184">
        <v>12758</v>
      </c>
      <c r="B1184" t="s">
        <v>125</v>
      </c>
      <c r="C1184">
        <v>0.88129999999999997</v>
      </c>
      <c r="D1184" t="s">
        <v>134</v>
      </c>
    </row>
    <row r="1185" spans="1:4" x14ac:dyDescent="0.25">
      <c r="A1185">
        <v>12757</v>
      </c>
      <c r="B1185" t="s">
        <v>125</v>
      </c>
      <c r="C1185">
        <v>5.9333333333333336</v>
      </c>
      <c r="D1185" t="s">
        <v>134</v>
      </c>
    </row>
    <row r="1186" spans="1:4" x14ac:dyDescent="0.25">
      <c r="A1186">
        <v>12754</v>
      </c>
      <c r="B1186" t="s">
        <v>124</v>
      </c>
      <c r="C1186">
        <v>12.6822</v>
      </c>
      <c r="D1186" t="s">
        <v>134</v>
      </c>
    </row>
    <row r="1187" spans="1:4" x14ac:dyDescent="0.25">
      <c r="A1187">
        <v>12753</v>
      </c>
      <c r="B1187" t="s">
        <v>124</v>
      </c>
      <c r="C1187">
        <v>11.352605882352941</v>
      </c>
      <c r="D1187" t="s">
        <v>134</v>
      </c>
    </row>
    <row r="1188" spans="1:4" x14ac:dyDescent="0.25">
      <c r="A1188">
        <v>12752</v>
      </c>
      <c r="B1188" t="s">
        <v>124</v>
      </c>
      <c r="C1188">
        <v>2.5127000000000002</v>
      </c>
      <c r="D1188" t="s">
        <v>134</v>
      </c>
    </row>
    <row r="1189" spans="1:4" x14ac:dyDescent="0.25">
      <c r="A1189">
        <v>12751</v>
      </c>
      <c r="B1189" t="s">
        <v>124</v>
      </c>
      <c r="C1189">
        <v>4.0343</v>
      </c>
      <c r="D1189" t="s">
        <v>134</v>
      </c>
    </row>
    <row r="1190" spans="1:4" x14ac:dyDescent="0.25">
      <c r="A1190">
        <v>12750</v>
      </c>
      <c r="B1190" t="s">
        <v>124</v>
      </c>
      <c r="C1190">
        <v>2.8584999999999998</v>
      </c>
      <c r="D1190" t="s">
        <v>134</v>
      </c>
    </row>
    <row r="1191" spans="1:4" x14ac:dyDescent="0.25">
      <c r="A1191">
        <v>12749</v>
      </c>
      <c r="B1191" t="s">
        <v>124</v>
      </c>
      <c r="C1191">
        <v>1.7975000000000001</v>
      </c>
      <c r="D1191" t="s">
        <v>134</v>
      </c>
    </row>
    <row r="1192" spans="1:4" x14ac:dyDescent="0.25">
      <c r="A1192">
        <v>12747</v>
      </c>
      <c r="B1192" t="s">
        <v>124</v>
      </c>
      <c r="C1192">
        <v>86.83784860557769</v>
      </c>
      <c r="D1192" t="s">
        <v>134</v>
      </c>
    </row>
    <row r="1193" spans="1:4" x14ac:dyDescent="0.25">
      <c r="A1193">
        <v>12746</v>
      </c>
      <c r="B1193" t="s">
        <v>124</v>
      </c>
      <c r="C1193">
        <v>7.8100000000000005</v>
      </c>
      <c r="D1193" t="s">
        <v>134</v>
      </c>
    </row>
    <row r="1194" spans="1:4" x14ac:dyDescent="0.25">
      <c r="A1194">
        <v>12745</v>
      </c>
      <c r="B1194" t="s">
        <v>124</v>
      </c>
      <c r="C1194">
        <v>10.684352941176471</v>
      </c>
      <c r="D1194" t="s">
        <v>134</v>
      </c>
    </row>
    <row r="1195" spans="1:4" x14ac:dyDescent="0.25">
      <c r="A1195">
        <v>12744</v>
      </c>
      <c r="B1195" t="s">
        <v>124</v>
      </c>
      <c r="C1195">
        <v>13.253968531468534</v>
      </c>
      <c r="D1195" t="s">
        <v>134</v>
      </c>
    </row>
    <row r="1196" spans="1:4" x14ac:dyDescent="0.25">
      <c r="A1196">
        <v>12743</v>
      </c>
      <c r="B1196" t="s">
        <v>124</v>
      </c>
      <c r="C1196">
        <v>4.1690666666666667</v>
      </c>
      <c r="D1196" t="s">
        <v>134</v>
      </c>
    </row>
    <row r="1197" spans="1:4" x14ac:dyDescent="0.25">
      <c r="A1197">
        <v>12740</v>
      </c>
      <c r="B1197" t="s">
        <v>124</v>
      </c>
      <c r="C1197">
        <v>3.6549</v>
      </c>
      <c r="D1197" t="s">
        <v>134</v>
      </c>
    </row>
    <row r="1198" spans="1:4" x14ac:dyDescent="0.25">
      <c r="A1198">
        <v>12740</v>
      </c>
      <c r="B1198" t="s">
        <v>124</v>
      </c>
      <c r="C1198">
        <v>59.31</v>
      </c>
      <c r="D1198" t="s">
        <v>134</v>
      </c>
    </row>
    <row r="1199" spans="1:4" x14ac:dyDescent="0.25">
      <c r="A1199">
        <v>12739</v>
      </c>
      <c r="B1199" t="s">
        <v>124</v>
      </c>
      <c r="C1199">
        <v>94.36</v>
      </c>
      <c r="D1199" t="s">
        <v>134</v>
      </c>
    </row>
    <row r="1200" spans="1:4" x14ac:dyDescent="0.25">
      <c r="A1200">
        <v>12738</v>
      </c>
      <c r="B1200" t="s">
        <v>124</v>
      </c>
      <c r="C1200">
        <v>91.52</v>
      </c>
      <c r="D1200" t="s">
        <v>134</v>
      </c>
    </row>
    <row r="1201" spans="1:4" x14ac:dyDescent="0.25">
      <c r="A1201">
        <v>12737</v>
      </c>
      <c r="B1201" t="s">
        <v>124</v>
      </c>
      <c r="C1201">
        <v>110.16</v>
      </c>
      <c r="D1201" t="s">
        <v>134</v>
      </c>
    </row>
    <row r="1202" spans="1:4" x14ac:dyDescent="0.25">
      <c r="A1202">
        <v>12723</v>
      </c>
      <c r="B1202" t="s">
        <v>124</v>
      </c>
      <c r="C1202">
        <v>1.4984</v>
      </c>
      <c r="D1202" t="s">
        <v>134</v>
      </c>
    </row>
    <row r="1203" spans="1:4" x14ac:dyDescent="0.25">
      <c r="A1203">
        <v>12722</v>
      </c>
      <c r="B1203" t="s">
        <v>124</v>
      </c>
      <c r="C1203">
        <v>12.556629213483145</v>
      </c>
      <c r="D1203" t="s">
        <v>134</v>
      </c>
    </row>
    <row r="1204" spans="1:4" x14ac:dyDescent="0.25">
      <c r="A1204">
        <v>12721</v>
      </c>
      <c r="B1204" t="s">
        <v>124</v>
      </c>
      <c r="C1204">
        <v>2.0954435897435899</v>
      </c>
      <c r="D1204" t="s">
        <v>134</v>
      </c>
    </row>
    <row r="1205" spans="1:4" x14ac:dyDescent="0.25">
      <c r="A1205">
        <v>12720</v>
      </c>
      <c r="B1205" t="s">
        <v>124</v>
      </c>
      <c r="C1205">
        <v>52.561203585147247</v>
      </c>
      <c r="D1205" t="s">
        <v>134</v>
      </c>
    </row>
    <row r="1206" spans="1:4" x14ac:dyDescent="0.25">
      <c r="A1206">
        <v>12719</v>
      </c>
      <c r="B1206" t="s">
        <v>124</v>
      </c>
      <c r="C1206">
        <v>4.777689243027889</v>
      </c>
      <c r="D1206" t="s">
        <v>134</v>
      </c>
    </row>
    <row r="1207" spans="1:4" x14ac:dyDescent="0.25">
      <c r="A1207">
        <v>12689</v>
      </c>
      <c r="B1207" t="s">
        <v>124</v>
      </c>
      <c r="C1207">
        <v>3.23</v>
      </c>
      <c r="D1207" t="s">
        <v>134</v>
      </c>
    </row>
    <row r="1208" spans="1:4" x14ac:dyDescent="0.25">
      <c r="A1208">
        <v>12686</v>
      </c>
      <c r="B1208" t="s">
        <v>28</v>
      </c>
      <c r="C1208">
        <v>0.1865</v>
      </c>
      <c r="D1208" t="s">
        <v>134</v>
      </c>
    </row>
    <row r="1209" spans="1:4" x14ac:dyDescent="0.25">
      <c r="A1209">
        <v>12685</v>
      </c>
      <c r="B1209" t="s">
        <v>28</v>
      </c>
      <c r="C1209">
        <v>0.57999999999999996</v>
      </c>
      <c r="D1209" t="s">
        <v>134</v>
      </c>
    </row>
    <row r="1210" spans="1:4" x14ac:dyDescent="0.25">
      <c r="A1210">
        <v>12684</v>
      </c>
      <c r="B1210" t="s">
        <v>124</v>
      </c>
      <c r="C1210">
        <v>3.8660000000000001</v>
      </c>
      <c r="D1210" t="s">
        <v>134</v>
      </c>
    </row>
    <row r="1211" spans="1:4" x14ac:dyDescent="0.25">
      <c r="A1211">
        <v>12683</v>
      </c>
      <c r="B1211" t="s">
        <v>124</v>
      </c>
      <c r="C1211">
        <v>4.2</v>
      </c>
      <c r="D1211" t="s">
        <v>134</v>
      </c>
    </row>
    <row r="1212" spans="1:4" x14ac:dyDescent="0.25">
      <c r="A1212">
        <v>12682</v>
      </c>
      <c r="B1212" t="s">
        <v>124</v>
      </c>
      <c r="C1212">
        <v>4.3219064748201443</v>
      </c>
      <c r="D1212" t="s">
        <v>134</v>
      </c>
    </row>
    <row r="1213" spans="1:4" x14ac:dyDescent="0.25">
      <c r="A1213">
        <v>12630</v>
      </c>
      <c r="B1213" t="s">
        <v>125</v>
      </c>
      <c r="C1213">
        <v>0.6</v>
      </c>
      <c r="D1213" t="s">
        <v>134</v>
      </c>
    </row>
    <row r="1214" spans="1:4" x14ac:dyDescent="0.25">
      <c r="A1214">
        <v>12629</v>
      </c>
      <c r="B1214" t="s">
        <v>125</v>
      </c>
      <c r="C1214">
        <v>7.29</v>
      </c>
      <c r="D1214" t="s">
        <v>134</v>
      </c>
    </row>
    <row r="1215" spans="1:4" x14ac:dyDescent="0.25">
      <c r="A1215">
        <v>12626</v>
      </c>
      <c r="B1215" t="s">
        <v>124</v>
      </c>
      <c r="C1215">
        <v>11.3314</v>
      </c>
      <c r="D1215" t="s">
        <v>134</v>
      </c>
    </row>
    <row r="1216" spans="1:4" x14ac:dyDescent="0.25">
      <c r="A1216">
        <v>12625</v>
      </c>
      <c r="B1216" t="s">
        <v>124</v>
      </c>
      <c r="C1216">
        <v>32.820900000000002</v>
      </c>
      <c r="D1216" t="s">
        <v>134</v>
      </c>
    </row>
    <row r="1217" spans="1:4" x14ac:dyDescent="0.25">
      <c r="A1217">
        <v>12615</v>
      </c>
      <c r="B1217" t="s">
        <v>125</v>
      </c>
      <c r="C1217">
        <v>0.5</v>
      </c>
      <c r="D1217" t="s">
        <v>134</v>
      </c>
    </row>
    <row r="1218" spans="1:4" x14ac:dyDescent="0.25">
      <c r="A1218">
        <v>12609</v>
      </c>
      <c r="B1218" t="s">
        <v>124</v>
      </c>
      <c r="C1218">
        <v>67.8</v>
      </c>
      <c r="D1218" t="s">
        <v>134</v>
      </c>
    </row>
    <row r="1219" spans="1:4" x14ac:dyDescent="0.25">
      <c r="A1219">
        <v>12607</v>
      </c>
      <c r="B1219" t="s">
        <v>124</v>
      </c>
      <c r="C1219">
        <v>4.5</v>
      </c>
      <c r="D1219" t="s">
        <v>134</v>
      </c>
    </row>
    <row r="1220" spans="1:4" x14ac:dyDescent="0.25">
      <c r="A1220">
        <v>12606</v>
      </c>
      <c r="B1220" t="s">
        <v>124</v>
      </c>
      <c r="C1220">
        <v>20.34</v>
      </c>
      <c r="D1220" t="s">
        <v>134</v>
      </c>
    </row>
    <row r="1221" spans="1:4" x14ac:dyDescent="0.25">
      <c r="A1221">
        <v>12605</v>
      </c>
      <c r="B1221" t="s">
        <v>124</v>
      </c>
      <c r="C1221">
        <v>50.84</v>
      </c>
      <c r="D1221" t="s">
        <v>134</v>
      </c>
    </row>
    <row r="1222" spans="1:4" x14ac:dyDescent="0.25">
      <c r="A1222">
        <v>12604</v>
      </c>
      <c r="B1222" t="s">
        <v>124</v>
      </c>
      <c r="C1222">
        <v>66.09375</v>
      </c>
      <c r="D1222" t="s">
        <v>134</v>
      </c>
    </row>
    <row r="1223" spans="1:4" x14ac:dyDescent="0.25">
      <c r="A1223">
        <v>12584</v>
      </c>
      <c r="B1223" t="s">
        <v>125</v>
      </c>
      <c r="C1223">
        <v>15.254499999999998</v>
      </c>
      <c r="D1223" t="s">
        <v>134</v>
      </c>
    </row>
    <row r="1224" spans="1:4" x14ac:dyDescent="0.25">
      <c r="A1224">
        <v>12580</v>
      </c>
      <c r="B1224" t="s">
        <v>125</v>
      </c>
      <c r="C1224">
        <v>1.1439999999999999</v>
      </c>
      <c r="D1224" t="s">
        <v>134</v>
      </c>
    </row>
    <row r="1225" spans="1:4" x14ac:dyDescent="0.25">
      <c r="A1225">
        <v>12579</v>
      </c>
      <c r="B1225" t="s">
        <v>125</v>
      </c>
      <c r="C1225">
        <v>0.64400000000000002</v>
      </c>
      <c r="D1225" t="s">
        <v>134</v>
      </c>
    </row>
    <row r="1226" spans="1:4" x14ac:dyDescent="0.25">
      <c r="A1226">
        <v>12575</v>
      </c>
      <c r="B1226" t="s">
        <v>125</v>
      </c>
      <c r="C1226">
        <v>50</v>
      </c>
      <c r="D1226" t="s">
        <v>134</v>
      </c>
    </row>
    <row r="1227" spans="1:4" x14ac:dyDescent="0.25">
      <c r="A1227">
        <v>12574</v>
      </c>
      <c r="B1227" t="s">
        <v>28</v>
      </c>
      <c r="C1227">
        <v>0.63551111111111114</v>
      </c>
      <c r="D1227" t="s">
        <v>134</v>
      </c>
    </row>
    <row r="1228" spans="1:4" x14ac:dyDescent="0.25">
      <c r="A1228">
        <v>12573</v>
      </c>
      <c r="B1228" t="s">
        <v>28</v>
      </c>
      <c r="C1228">
        <v>0.38131999999999999</v>
      </c>
      <c r="D1228" t="s">
        <v>134</v>
      </c>
    </row>
    <row r="1229" spans="1:4" x14ac:dyDescent="0.25">
      <c r="A1229">
        <v>12541</v>
      </c>
      <c r="B1229" t="s">
        <v>124</v>
      </c>
      <c r="C1229">
        <v>12.878253968253969</v>
      </c>
      <c r="D1229" t="s">
        <v>134</v>
      </c>
    </row>
    <row r="1230" spans="1:4" x14ac:dyDescent="0.25">
      <c r="A1230">
        <v>12540</v>
      </c>
      <c r="B1230" t="s">
        <v>124</v>
      </c>
      <c r="C1230">
        <v>5.6558399999999995</v>
      </c>
      <c r="D1230" t="s">
        <v>134</v>
      </c>
    </row>
    <row r="1231" spans="1:4" x14ac:dyDescent="0.25">
      <c r="A1231">
        <v>12539</v>
      </c>
      <c r="B1231" t="s">
        <v>124</v>
      </c>
      <c r="C1231">
        <v>17.10275</v>
      </c>
      <c r="D1231" t="s">
        <v>134</v>
      </c>
    </row>
    <row r="1232" spans="1:4" x14ac:dyDescent="0.25">
      <c r="A1232">
        <v>12527</v>
      </c>
      <c r="B1232" t="s">
        <v>124</v>
      </c>
      <c r="C1232">
        <v>2.9195793388429752</v>
      </c>
      <c r="D1232" t="s">
        <v>134</v>
      </c>
    </row>
    <row r="1233" spans="1:4" x14ac:dyDescent="0.25">
      <c r="A1233">
        <v>12526</v>
      </c>
      <c r="B1233" t="s">
        <v>124</v>
      </c>
      <c r="C1233">
        <v>3.9091248062015507</v>
      </c>
      <c r="D1233" t="s">
        <v>134</v>
      </c>
    </row>
    <row r="1234" spans="1:4" x14ac:dyDescent="0.25">
      <c r="A1234">
        <v>12525</v>
      </c>
      <c r="B1234" t="s">
        <v>124</v>
      </c>
      <c r="C1234">
        <v>5.399270967741935</v>
      </c>
      <c r="D1234" t="s">
        <v>134</v>
      </c>
    </row>
    <row r="1235" spans="1:4" x14ac:dyDescent="0.25">
      <c r="A1235">
        <v>12524</v>
      </c>
      <c r="B1235" t="s">
        <v>124</v>
      </c>
      <c r="C1235">
        <v>49.761061946902657</v>
      </c>
      <c r="D1235" t="s">
        <v>134</v>
      </c>
    </row>
    <row r="1236" spans="1:4" x14ac:dyDescent="0.25">
      <c r="A1236">
        <v>12523</v>
      </c>
      <c r="B1236" t="s">
        <v>124</v>
      </c>
      <c r="C1236">
        <v>113.69911504424779</v>
      </c>
      <c r="D1236" t="s">
        <v>134</v>
      </c>
    </row>
    <row r="1237" spans="1:4" x14ac:dyDescent="0.25">
      <c r="A1237">
        <v>12522</v>
      </c>
      <c r="B1237" t="s">
        <v>124</v>
      </c>
      <c r="C1237">
        <v>188.61061946902657</v>
      </c>
      <c r="D1237" t="s">
        <v>134</v>
      </c>
    </row>
    <row r="1238" spans="1:4" x14ac:dyDescent="0.25">
      <c r="A1238">
        <v>12514</v>
      </c>
      <c r="B1238" t="s">
        <v>125</v>
      </c>
      <c r="C1238">
        <v>0.5</v>
      </c>
      <c r="D1238" t="s">
        <v>134</v>
      </c>
    </row>
    <row r="1239" spans="1:4" x14ac:dyDescent="0.25">
      <c r="A1239">
        <v>12506</v>
      </c>
      <c r="B1239" t="s">
        <v>124</v>
      </c>
      <c r="C1239">
        <v>1.3261590909090908</v>
      </c>
      <c r="D1239" t="s">
        <v>134</v>
      </c>
    </row>
    <row r="1240" spans="1:4" x14ac:dyDescent="0.25">
      <c r="A1240">
        <v>12505</v>
      </c>
      <c r="B1240" t="s">
        <v>124</v>
      </c>
      <c r="C1240">
        <v>0.24536666666666665</v>
      </c>
      <c r="D1240" t="s">
        <v>134</v>
      </c>
    </row>
    <row r="1241" spans="1:4" x14ac:dyDescent="0.25">
      <c r="A1241">
        <v>124</v>
      </c>
      <c r="B1241" t="s">
        <v>124</v>
      </c>
      <c r="C1241">
        <v>10</v>
      </c>
      <c r="D1241" t="s">
        <v>134</v>
      </c>
    </row>
    <row r="1242" spans="1:4" x14ac:dyDescent="0.25">
      <c r="A1242">
        <v>12470</v>
      </c>
      <c r="B1242" t="s">
        <v>125</v>
      </c>
      <c r="C1242">
        <v>18.64</v>
      </c>
      <c r="D1242" t="s">
        <v>134</v>
      </c>
    </row>
    <row r="1243" spans="1:4" x14ac:dyDescent="0.25">
      <c r="A1243">
        <v>12469</v>
      </c>
      <c r="B1243" t="s">
        <v>125</v>
      </c>
      <c r="C1243">
        <v>32.35</v>
      </c>
      <c r="D1243" t="s">
        <v>134</v>
      </c>
    </row>
    <row r="1244" spans="1:4" x14ac:dyDescent="0.25">
      <c r="A1244">
        <v>12468</v>
      </c>
      <c r="B1244" t="s">
        <v>124</v>
      </c>
      <c r="C1244">
        <v>11.02</v>
      </c>
      <c r="D1244" t="s">
        <v>134</v>
      </c>
    </row>
    <row r="1245" spans="1:4" x14ac:dyDescent="0.25">
      <c r="A1245">
        <v>12432</v>
      </c>
      <c r="B1245" t="s">
        <v>125</v>
      </c>
      <c r="C1245">
        <v>3</v>
      </c>
      <c r="D1245" t="s">
        <v>134</v>
      </c>
    </row>
    <row r="1246" spans="1:4" x14ac:dyDescent="0.25">
      <c r="A1246">
        <v>12431</v>
      </c>
      <c r="B1246" t="s">
        <v>125</v>
      </c>
      <c r="C1246">
        <v>2</v>
      </c>
      <c r="D1246" t="s">
        <v>134</v>
      </c>
    </row>
    <row r="1247" spans="1:4" x14ac:dyDescent="0.25">
      <c r="A1247">
        <v>12425</v>
      </c>
      <c r="B1247" t="s">
        <v>125</v>
      </c>
      <c r="C1247">
        <v>83.05</v>
      </c>
      <c r="D1247" t="s">
        <v>134</v>
      </c>
    </row>
    <row r="1248" spans="1:4" x14ac:dyDescent="0.25">
      <c r="A1248">
        <v>12424</v>
      </c>
      <c r="B1248" t="s">
        <v>124</v>
      </c>
      <c r="C1248">
        <v>3.2133367346938773</v>
      </c>
      <c r="D1248" t="s">
        <v>134</v>
      </c>
    </row>
    <row r="1249" spans="1:4" x14ac:dyDescent="0.25">
      <c r="A1249">
        <v>12423</v>
      </c>
      <c r="B1249" t="s">
        <v>124</v>
      </c>
      <c r="C1249">
        <v>4.7018363636363638</v>
      </c>
      <c r="D1249" t="s">
        <v>134</v>
      </c>
    </row>
    <row r="1250" spans="1:4" x14ac:dyDescent="0.25">
      <c r="A1250">
        <v>12422</v>
      </c>
      <c r="B1250" t="s">
        <v>124</v>
      </c>
      <c r="C1250">
        <v>6.3907732142857148</v>
      </c>
      <c r="D1250" t="s">
        <v>134</v>
      </c>
    </row>
    <row r="1251" spans="1:4" x14ac:dyDescent="0.25">
      <c r="A1251">
        <v>12421</v>
      </c>
      <c r="B1251" t="s">
        <v>28</v>
      </c>
      <c r="C1251">
        <v>3.5</v>
      </c>
      <c r="D1251" t="s">
        <v>134</v>
      </c>
    </row>
    <row r="1252" spans="1:4" x14ac:dyDescent="0.25">
      <c r="A1252">
        <v>12420</v>
      </c>
      <c r="B1252" t="s">
        <v>28</v>
      </c>
      <c r="C1252">
        <v>0.38</v>
      </c>
      <c r="D1252" t="s">
        <v>134</v>
      </c>
    </row>
    <row r="1253" spans="1:4" x14ac:dyDescent="0.25">
      <c r="A1253">
        <v>12419</v>
      </c>
      <c r="B1253" t="s">
        <v>28</v>
      </c>
      <c r="C1253">
        <v>0.38</v>
      </c>
      <c r="D1253" t="s">
        <v>134</v>
      </c>
    </row>
    <row r="1254" spans="1:4" x14ac:dyDescent="0.25">
      <c r="A1254">
        <v>12418</v>
      </c>
      <c r="B1254" t="s">
        <v>125</v>
      </c>
      <c r="C1254">
        <v>0.38140000000000002</v>
      </c>
      <c r="D1254" t="s">
        <v>134</v>
      </c>
    </row>
    <row r="1255" spans="1:4" x14ac:dyDescent="0.25">
      <c r="A1255">
        <v>12411</v>
      </c>
      <c r="B1255" t="s">
        <v>125</v>
      </c>
      <c r="C1255">
        <v>19.489999999999998</v>
      </c>
      <c r="D1255" t="s">
        <v>134</v>
      </c>
    </row>
    <row r="1256" spans="1:4" x14ac:dyDescent="0.25">
      <c r="A1256">
        <v>12410</v>
      </c>
      <c r="B1256" t="s">
        <v>125</v>
      </c>
      <c r="C1256">
        <v>8.9</v>
      </c>
      <c r="D1256" t="s">
        <v>134</v>
      </c>
    </row>
    <row r="1257" spans="1:4" x14ac:dyDescent="0.25">
      <c r="A1257">
        <v>12409</v>
      </c>
      <c r="B1257" t="s">
        <v>125</v>
      </c>
      <c r="C1257">
        <v>0.47453333333333336</v>
      </c>
      <c r="D1257" t="s">
        <v>134</v>
      </c>
    </row>
    <row r="1258" spans="1:4" x14ac:dyDescent="0.25">
      <c r="A1258">
        <v>12408</v>
      </c>
      <c r="B1258" t="s">
        <v>125</v>
      </c>
      <c r="C1258">
        <v>15.255000000000001</v>
      </c>
      <c r="D1258" t="s">
        <v>134</v>
      </c>
    </row>
    <row r="1259" spans="1:4" x14ac:dyDescent="0.25">
      <c r="A1259">
        <v>12407</v>
      </c>
      <c r="B1259" t="s">
        <v>125</v>
      </c>
      <c r="C1259">
        <v>33.9</v>
      </c>
      <c r="D1259" t="s">
        <v>134</v>
      </c>
    </row>
    <row r="1260" spans="1:4" x14ac:dyDescent="0.25">
      <c r="A1260">
        <v>12406</v>
      </c>
      <c r="B1260" t="s">
        <v>125</v>
      </c>
      <c r="C1260">
        <v>42.8</v>
      </c>
      <c r="D1260" t="s">
        <v>134</v>
      </c>
    </row>
    <row r="1261" spans="1:4" x14ac:dyDescent="0.25">
      <c r="A1261">
        <v>12405</v>
      </c>
      <c r="B1261" t="s">
        <v>125</v>
      </c>
      <c r="C1261">
        <v>7.54</v>
      </c>
      <c r="D1261" t="s">
        <v>134</v>
      </c>
    </row>
    <row r="1262" spans="1:4" x14ac:dyDescent="0.25">
      <c r="A1262">
        <v>12404</v>
      </c>
      <c r="B1262" t="s">
        <v>125</v>
      </c>
      <c r="C1262">
        <v>338.8966666666667</v>
      </c>
      <c r="D1262" t="s">
        <v>134</v>
      </c>
    </row>
    <row r="1263" spans="1:4" x14ac:dyDescent="0.25">
      <c r="A1263">
        <v>12393</v>
      </c>
      <c r="B1263" t="s">
        <v>28</v>
      </c>
      <c r="C1263">
        <v>5.4238</v>
      </c>
      <c r="D1263" t="s">
        <v>134</v>
      </c>
    </row>
    <row r="1264" spans="1:4" x14ac:dyDescent="0.25">
      <c r="A1264">
        <v>12392</v>
      </c>
      <c r="B1264" t="s">
        <v>124</v>
      </c>
      <c r="C1264">
        <v>21.19</v>
      </c>
      <c r="D1264" t="s">
        <v>134</v>
      </c>
    </row>
    <row r="1265" spans="1:4" x14ac:dyDescent="0.25">
      <c r="A1265">
        <v>12391</v>
      </c>
      <c r="B1265" t="s">
        <v>124</v>
      </c>
      <c r="C1265">
        <v>16.102</v>
      </c>
      <c r="D1265" t="s">
        <v>134</v>
      </c>
    </row>
    <row r="1266" spans="1:4" x14ac:dyDescent="0.25">
      <c r="A1266">
        <v>12389</v>
      </c>
      <c r="B1266" t="s">
        <v>124</v>
      </c>
      <c r="C1266">
        <v>47</v>
      </c>
      <c r="D1266" t="s">
        <v>134</v>
      </c>
    </row>
    <row r="1267" spans="1:4" x14ac:dyDescent="0.25">
      <c r="A1267">
        <v>12388</v>
      </c>
      <c r="B1267" t="s">
        <v>124</v>
      </c>
      <c r="C1267">
        <v>120</v>
      </c>
      <c r="D1267" t="s">
        <v>134</v>
      </c>
    </row>
    <row r="1268" spans="1:4" x14ac:dyDescent="0.25">
      <c r="A1268">
        <v>12387</v>
      </c>
      <c r="B1268" t="s">
        <v>124</v>
      </c>
      <c r="C1268">
        <v>1.95</v>
      </c>
      <c r="D1268" t="s">
        <v>134</v>
      </c>
    </row>
    <row r="1269" spans="1:4" x14ac:dyDescent="0.25">
      <c r="A1269">
        <v>12383</v>
      </c>
      <c r="B1269" t="s">
        <v>124</v>
      </c>
      <c r="C1269">
        <v>35.545900000000003</v>
      </c>
      <c r="D1269" t="s">
        <v>134</v>
      </c>
    </row>
    <row r="1270" spans="1:4" x14ac:dyDescent="0.25">
      <c r="A1270">
        <v>12382</v>
      </c>
      <c r="B1270" t="s">
        <v>124</v>
      </c>
      <c r="C1270">
        <v>28.124849999999999</v>
      </c>
      <c r="D1270" t="s">
        <v>134</v>
      </c>
    </row>
    <row r="1271" spans="1:4" x14ac:dyDescent="0.25">
      <c r="A1271">
        <v>12381</v>
      </c>
      <c r="B1271" t="s">
        <v>124</v>
      </c>
      <c r="C1271">
        <v>55.229174999999998</v>
      </c>
      <c r="D1271" t="s">
        <v>134</v>
      </c>
    </row>
    <row r="1272" spans="1:4" x14ac:dyDescent="0.25">
      <c r="A1272">
        <v>12380</v>
      </c>
      <c r="B1272" t="s">
        <v>124</v>
      </c>
      <c r="C1272">
        <v>49.248038461538464</v>
      </c>
      <c r="D1272" t="s">
        <v>134</v>
      </c>
    </row>
    <row r="1273" spans="1:4" x14ac:dyDescent="0.25">
      <c r="A1273">
        <v>12369</v>
      </c>
      <c r="B1273" t="s">
        <v>28</v>
      </c>
      <c r="C1273">
        <v>1.1439999999999999</v>
      </c>
      <c r="D1273" t="s">
        <v>134</v>
      </c>
    </row>
    <row r="1274" spans="1:4" x14ac:dyDescent="0.25">
      <c r="A1274">
        <v>12368</v>
      </c>
      <c r="B1274" t="s">
        <v>125</v>
      </c>
      <c r="C1274">
        <v>0.16940000000000002</v>
      </c>
      <c r="D1274" t="s">
        <v>134</v>
      </c>
    </row>
    <row r="1275" spans="1:4" x14ac:dyDescent="0.25">
      <c r="A1275">
        <v>12327</v>
      </c>
      <c r="B1275" t="s">
        <v>125</v>
      </c>
      <c r="C1275">
        <v>10.59</v>
      </c>
      <c r="D1275" t="s">
        <v>134</v>
      </c>
    </row>
    <row r="1276" spans="1:4" x14ac:dyDescent="0.25">
      <c r="A1276">
        <v>12326</v>
      </c>
      <c r="B1276" t="s">
        <v>125</v>
      </c>
      <c r="C1276">
        <v>42.37</v>
      </c>
      <c r="D1276" t="s">
        <v>134</v>
      </c>
    </row>
    <row r="1277" spans="1:4" x14ac:dyDescent="0.25">
      <c r="A1277">
        <v>12316</v>
      </c>
      <c r="B1277" t="s">
        <v>124</v>
      </c>
      <c r="C1277">
        <v>15.254</v>
      </c>
      <c r="D1277" t="s">
        <v>134</v>
      </c>
    </row>
    <row r="1278" spans="1:4" x14ac:dyDescent="0.25">
      <c r="A1278">
        <v>12315</v>
      </c>
      <c r="B1278" t="s">
        <v>124</v>
      </c>
      <c r="C1278">
        <v>15.254</v>
      </c>
      <c r="D1278" t="s">
        <v>134</v>
      </c>
    </row>
    <row r="1279" spans="1:4" x14ac:dyDescent="0.25">
      <c r="A1279">
        <v>12314</v>
      </c>
      <c r="B1279" t="s">
        <v>125</v>
      </c>
      <c r="C1279">
        <v>26.9</v>
      </c>
      <c r="D1279" t="s">
        <v>134</v>
      </c>
    </row>
    <row r="1280" spans="1:4" x14ac:dyDescent="0.25">
      <c r="A1280">
        <v>12313</v>
      </c>
      <c r="B1280" t="s">
        <v>125</v>
      </c>
      <c r="C1280">
        <v>26.900000000000002</v>
      </c>
      <c r="D1280" t="s">
        <v>134</v>
      </c>
    </row>
    <row r="1281" spans="1:4" x14ac:dyDescent="0.25">
      <c r="A1281">
        <v>12310</v>
      </c>
      <c r="B1281" t="s">
        <v>124</v>
      </c>
      <c r="C1281">
        <v>0.36576666666666663</v>
      </c>
      <c r="D1281" t="s">
        <v>134</v>
      </c>
    </row>
    <row r="1282" spans="1:4" x14ac:dyDescent="0.25">
      <c r="A1282">
        <v>12309</v>
      </c>
      <c r="B1282" t="s">
        <v>124</v>
      </c>
      <c r="C1282">
        <v>1.6469349999999998</v>
      </c>
      <c r="D1282" t="s">
        <v>134</v>
      </c>
    </row>
    <row r="1283" spans="1:4" x14ac:dyDescent="0.25">
      <c r="A1283">
        <v>12301</v>
      </c>
      <c r="B1283" t="s">
        <v>124</v>
      </c>
      <c r="C1283">
        <v>30</v>
      </c>
      <c r="D1283" t="s">
        <v>134</v>
      </c>
    </row>
    <row r="1284" spans="1:4" x14ac:dyDescent="0.25">
      <c r="A1284">
        <v>12299</v>
      </c>
      <c r="B1284" t="s">
        <v>125</v>
      </c>
      <c r="C1284">
        <v>118.56</v>
      </c>
      <c r="D1284" t="s">
        <v>134</v>
      </c>
    </row>
    <row r="1285" spans="1:4" x14ac:dyDescent="0.25">
      <c r="A1285">
        <v>12298</v>
      </c>
      <c r="B1285" t="s">
        <v>125</v>
      </c>
      <c r="C1285">
        <v>0.45</v>
      </c>
      <c r="D1285" t="s">
        <v>134</v>
      </c>
    </row>
    <row r="1286" spans="1:4" x14ac:dyDescent="0.25">
      <c r="A1286">
        <v>12288</v>
      </c>
      <c r="B1286" t="s">
        <v>124</v>
      </c>
      <c r="C1286">
        <v>38.14</v>
      </c>
      <c r="D1286" t="s">
        <v>134</v>
      </c>
    </row>
    <row r="1287" spans="1:4" x14ac:dyDescent="0.25">
      <c r="A1287">
        <v>12268</v>
      </c>
      <c r="B1287" t="s">
        <v>125</v>
      </c>
      <c r="C1287">
        <v>27.14</v>
      </c>
      <c r="D1287" t="s">
        <v>134</v>
      </c>
    </row>
    <row r="1288" spans="1:4" x14ac:dyDescent="0.25">
      <c r="A1288">
        <v>12267</v>
      </c>
      <c r="B1288" t="s">
        <v>125</v>
      </c>
      <c r="C1288">
        <v>9.49</v>
      </c>
      <c r="D1288" t="s">
        <v>134</v>
      </c>
    </row>
    <row r="1289" spans="1:4" x14ac:dyDescent="0.25">
      <c r="A1289">
        <v>12259</v>
      </c>
      <c r="B1289" t="s">
        <v>125</v>
      </c>
      <c r="C1289">
        <v>3.75</v>
      </c>
      <c r="D1289" t="s">
        <v>134</v>
      </c>
    </row>
    <row r="1290" spans="1:4" x14ac:dyDescent="0.25">
      <c r="A1290">
        <v>12258</v>
      </c>
      <c r="B1290" t="s">
        <v>124</v>
      </c>
      <c r="C1290">
        <v>16.02</v>
      </c>
      <c r="D1290" t="s">
        <v>134</v>
      </c>
    </row>
    <row r="1291" spans="1:4" x14ac:dyDescent="0.25">
      <c r="A1291">
        <v>12257</v>
      </c>
      <c r="B1291" t="s">
        <v>125</v>
      </c>
      <c r="C1291">
        <v>50.76</v>
      </c>
      <c r="D1291" t="s">
        <v>134</v>
      </c>
    </row>
    <row r="1292" spans="1:4" x14ac:dyDescent="0.25">
      <c r="A1292">
        <v>12256</v>
      </c>
      <c r="B1292" t="s">
        <v>125</v>
      </c>
      <c r="C1292">
        <v>268.97500000000002</v>
      </c>
      <c r="D1292" t="s">
        <v>134</v>
      </c>
    </row>
    <row r="1293" spans="1:4" x14ac:dyDescent="0.25">
      <c r="A1293">
        <v>12255</v>
      </c>
      <c r="B1293" t="s">
        <v>125</v>
      </c>
      <c r="C1293">
        <v>12.3725</v>
      </c>
      <c r="D1293" t="s">
        <v>134</v>
      </c>
    </row>
    <row r="1294" spans="1:4" x14ac:dyDescent="0.25">
      <c r="A1294">
        <v>12254</v>
      </c>
      <c r="B1294" t="s">
        <v>125</v>
      </c>
      <c r="C1294">
        <v>24.153333333333332</v>
      </c>
      <c r="D1294" t="s">
        <v>134</v>
      </c>
    </row>
    <row r="1295" spans="1:4" x14ac:dyDescent="0.25">
      <c r="A1295">
        <v>12246</v>
      </c>
      <c r="B1295" t="s">
        <v>124</v>
      </c>
      <c r="C1295">
        <v>63.770600000000002</v>
      </c>
      <c r="D1295" t="s">
        <v>134</v>
      </c>
    </row>
    <row r="1296" spans="1:4" x14ac:dyDescent="0.25">
      <c r="A1296">
        <v>12245</v>
      </c>
      <c r="B1296" t="s">
        <v>124</v>
      </c>
      <c r="C1296">
        <v>39.754434782608698</v>
      </c>
      <c r="D1296" t="s">
        <v>134</v>
      </c>
    </row>
    <row r="1297" spans="1:4" x14ac:dyDescent="0.25">
      <c r="A1297">
        <v>12231</v>
      </c>
      <c r="B1297" t="s">
        <v>125</v>
      </c>
      <c r="C1297">
        <v>12.7118</v>
      </c>
      <c r="D1297" t="s">
        <v>134</v>
      </c>
    </row>
    <row r="1298" spans="1:4" x14ac:dyDescent="0.25">
      <c r="A1298">
        <v>12230</v>
      </c>
      <c r="B1298" t="s">
        <v>125</v>
      </c>
      <c r="C1298">
        <v>21</v>
      </c>
      <c r="D1298" t="s">
        <v>134</v>
      </c>
    </row>
    <row r="1299" spans="1:4" x14ac:dyDescent="0.25">
      <c r="A1299">
        <v>12229</v>
      </c>
      <c r="B1299" t="s">
        <v>125</v>
      </c>
      <c r="C1299">
        <v>21.948275862068964</v>
      </c>
      <c r="D1299" t="s">
        <v>134</v>
      </c>
    </row>
    <row r="1300" spans="1:4" x14ac:dyDescent="0.25">
      <c r="A1300">
        <v>12227</v>
      </c>
      <c r="B1300" t="s">
        <v>125</v>
      </c>
      <c r="C1300">
        <v>18.12</v>
      </c>
      <c r="D1300" t="s">
        <v>134</v>
      </c>
    </row>
    <row r="1301" spans="1:4" x14ac:dyDescent="0.25">
      <c r="A1301">
        <v>12226</v>
      </c>
      <c r="B1301" t="s">
        <v>125</v>
      </c>
      <c r="C1301">
        <v>21</v>
      </c>
      <c r="D1301" t="s">
        <v>134</v>
      </c>
    </row>
    <row r="1302" spans="1:4" x14ac:dyDescent="0.25">
      <c r="A1302">
        <v>12225</v>
      </c>
      <c r="B1302" t="s">
        <v>125</v>
      </c>
      <c r="C1302">
        <v>21.967741935483872</v>
      </c>
      <c r="D1302" t="s">
        <v>134</v>
      </c>
    </row>
    <row r="1303" spans="1:4" x14ac:dyDescent="0.25">
      <c r="A1303">
        <v>12192</v>
      </c>
      <c r="B1303" t="s">
        <v>125</v>
      </c>
      <c r="C1303">
        <v>0.81349999999999989</v>
      </c>
      <c r="D1303" t="s">
        <v>134</v>
      </c>
    </row>
    <row r="1304" spans="1:4" x14ac:dyDescent="0.25">
      <c r="A1304">
        <v>12191</v>
      </c>
      <c r="B1304" t="s">
        <v>125</v>
      </c>
      <c r="C1304">
        <v>23.728999999999999</v>
      </c>
      <c r="D1304" t="s">
        <v>134</v>
      </c>
    </row>
    <row r="1305" spans="1:4" x14ac:dyDescent="0.25">
      <c r="A1305">
        <v>12190</v>
      </c>
      <c r="B1305" t="s">
        <v>124</v>
      </c>
      <c r="C1305">
        <v>22.36</v>
      </c>
      <c r="D1305" t="s">
        <v>134</v>
      </c>
    </row>
    <row r="1306" spans="1:4" x14ac:dyDescent="0.25">
      <c r="A1306">
        <v>12189</v>
      </c>
      <c r="B1306" t="s">
        <v>124</v>
      </c>
      <c r="C1306">
        <v>22.36</v>
      </c>
      <c r="D1306" t="s">
        <v>134</v>
      </c>
    </row>
    <row r="1307" spans="1:4" x14ac:dyDescent="0.25">
      <c r="A1307">
        <v>12188</v>
      </c>
      <c r="B1307" t="s">
        <v>124</v>
      </c>
      <c r="C1307">
        <v>50.999999999999993</v>
      </c>
      <c r="D1307" t="s">
        <v>134</v>
      </c>
    </row>
    <row r="1308" spans="1:4" x14ac:dyDescent="0.25">
      <c r="A1308">
        <v>12187</v>
      </c>
      <c r="B1308" t="s">
        <v>124</v>
      </c>
      <c r="C1308">
        <v>44.463650000000001</v>
      </c>
      <c r="D1308" t="s">
        <v>134</v>
      </c>
    </row>
    <row r="1309" spans="1:4" x14ac:dyDescent="0.25">
      <c r="A1309">
        <v>12186</v>
      </c>
      <c r="B1309" t="s">
        <v>124</v>
      </c>
      <c r="C1309">
        <v>44.2</v>
      </c>
      <c r="D1309" t="s">
        <v>134</v>
      </c>
    </row>
    <row r="1310" spans="1:4" x14ac:dyDescent="0.25">
      <c r="A1310">
        <v>12185</v>
      </c>
      <c r="B1310" t="s">
        <v>124</v>
      </c>
      <c r="C1310">
        <v>37.053043478260868</v>
      </c>
      <c r="D1310" t="s">
        <v>134</v>
      </c>
    </row>
    <row r="1311" spans="1:4" x14ac:dyDescent="0.25">
      <c r="A1311">
        <v>12174</v>
      </c>
      <c r="B1311" t="s">
        <v>125</v>
      </c>
      <c r="C1311">
        <v>0.89829999999999999</v>
      </c>
      <c r="D1311" t="s">
        <v>134</v>
      </c>
    </row>
    <row r="1312" spans="1:4" x14ac:dyDescent="0.25">
      <c r="A1312">
        <v>12163</v>
      </c>
      <c r="B1312" t="s">
        <v>124</v>
      </c>
      <c r="C1312">
        <v>56.362179487179489</v>
      </c>
      <c r="D1312" t="s">
        <v>134</v>
      </c>
    </row>
    <row r="1313" spans="1:4" x14ac:dyDescent="0.25">
      <c r="A1313">
        <v>12157</v>
      </c>
      <c r="B1313" t="s">
        <v>124</v>
      </c>
      <c r="C1313">
        <v>2.3058225000000001</v>
      </c>
      <c r="D1313" t="s">
        <v>134</v>
      </c>
    </row>
    <row r="1314" spans="1:4" x14ac:dyDescent="0.25">
      <c r="A1314">
        <v>12156</v>
      </c>
      <c r="B1314" t="s">
        <v>124</v>
      </c>
      <c r="C1314">
        <v>1.9896577777777777</v>
      </c>
      <c r="D1314" t="s">
        <v>134</v>
      </c>
    </row>
    <row r="1315" spans="1:4" x14ac:dyDescent="0.25">
      <c r="A1315">
        <v>12155</v>
      </c>
      <c r="B1315" t="s">
        <v>124</v>
      </c>
      <c r="C1315">
        <v>0.74819294117647062</v>
      </c>
      <c r="D1315" t="s">
        <v>134</v>
      </c>
    </row>
    <row r="1316" spans="1:4" x14ac:dyDescent="0.25">
      <c r="A1316">
        <v>12154</v>
      </c>
      <c r="B1316" t="s">
        <v>124</v>
      </c>
      <c r="C1316">
        <v>1.13534</v>
      </c>
      <c r="D1316" t="s">
        <v>134</v>
      </c>
    </row>
    <row r="1317" spans="1:4" x14ac:dyDescent="0.25">
      <c r="A1317">
        <v>12153</v>
      </c>
      <c r="B1317" t="s">
        <v>124</v>
      </c>
      <c r="C1317">
        <v>1.2474733333333332</v>
      </c>
      <c r="D1317" t="s">
        <v>134</v>
      </c>
    </row>
    <row r="1318" spans="1:4" x14ac:dyDescent="0.25">
      <c r="A1318">
        <v>12148</v>
      </c>
      <c r="B1318" t="s">
        <v>124</v>
      </c>
      <c r="C1318">
        <v>5.8406374999999997</v>
      </c>
      <c r="D1318" t="s">
        <v>134</v>
      </c>
    </row>
    <row r="1319" spans="1:4" x14ac:dyDescent="0.25">
      <c r="A1319">
        <v>12129</v>
      </c>
      <c r="B1319" t="s">
        <v>124</v>
      </c>
      <c r="C1319">
        <v>17.5</v>
      </c>
      <c r="D1319" t="s">
        <v>134</v>
      </c>
    </row>
    <row r="1320" spans="1:4" x14ac:dyDescent="0.25">
      <c r="A1320">
        <v>12128</v>
      </c>
      <c r="B1320" t="s">
        <v>28</v>
      </c>
      <c r="C1320">
        <v>0.29239999999999999</v>
      </c>
      <c r="D1320" t="s">
        <v>134</v>
      </c>
    </row>
    <row r="1321" spans="1:4" x14ac:dyDescent="0.25">
      <c r="A1321">
        <v>12109</v>
      </c>
      <c r="B1321" t="s">
        <v>125</v>
      </c>
      <c r="C1321">
        <v>250</v>
      </c>
      <c r="D1321" t="s">
        <v>134</v>
      </c>
    </row>
    <row r="1322" spans="1:4" x14ac:dyDescent="0.25">
      <c r="A1322">
        <v>12101</v>
      </c>
      <c r="B1322" t="s">
        <v>126</v>
      </c>
      <c r="C1322">
        <v>14.409999999999998</v>
      </c>
      <c r="D1322" t="s">
        <v>134</v>
      </c>
    </row>
    <row r="1323" spans="1:4" x14ac:dyDescent="0.25">
      <c r="A1323">
        <v>120</v>
      </c>
      <c r="B1323" t="s">
        <v>124</v>
      </c>
      <c r="C1323">
        <v>0.8</v>
      </c>
      <c r="D1323" t="s">
        <v>134</v>
      </c>
    </row>
    <row r="1324" spans="1:4" x14ac:dyDescent="0.25">
      <c r="A1324">
        <v>12087</v>
      </c>
      <c r="B1324" t="s">
        <v>124</v>
      </c>
      <c r="C1324">
        <v>0.24155000000000001</v>
      </c>
      <c r="D1324" t="s">
        <v>134</v>
      </c>
    </row>
    <row r="1325" spans="1:4" x14ac:dyDescent="0.25">
      <c r="A1325">
        <v>12086</v>
      </c>
      <c r="B1325" t="s">
        <v>124</v>
      </c>
      <c r="C1325">
        <v>25.085092592592591</v>
      </c>
      <c r="D1325" t="s">
        <v>134</v>
      </c>
    </row>
    <row r="1326" spans="1:4" x14ac:dyDescent="0.25">
      <c r="A1326">
        <v>12085</v>
      </c>
      <c r="B1326" t="s">
        <v>124</v>
      </c>
      <c r="C1326">
        <v>8.3807236842105262</v>
      </c>
      <c r="D1326" t="s">
        <v>134</v>
      </c>
    </row>
    <row r="1327" spans="1:4" x14ac:dyDescent="0.25">
      <c r="A1327">
        <v>12077</v>
      </c>
      <c r="B1327" t="s">
        <v>124</v>
      </c>
      <c r="C1327">
        <v>2.6291000000000002</v>
      </c>
      <c r="D1327" t="s">
        <v>134</v>
      </c>
    </row>
    <row r="1328" spans="1:4" x14ac:dyDescent="0.25">
      <c r="A1328">
        <v>12076</v>
      </c>
      <c r="B1328" t="s">
        <v>124</v>
      </c>
      <c r="C1328">
        <v>6.8719999999999999</v>
      </c>
      <c r="D1328" t="s">
        <v>134</v>
      </c>
    </row>
    <row r="1329" spans="1:4" x14ac:dyDescent="0.25">
      <c r="A1329">
        <v>12075</v>
      </c>
      <c r="B1329" t="s">
        <v>124</v>
      </c>
      <c r="C1329">
        <v>10.472346570397113</v>
      </c>
      <c r="D1329" t="s">
        <v>134</v>
      </c>
    </row>
    <row r="1330" spans="1:4" x14ac:dyDescent="0.25">
      <c r="A1330">
        <v>12074</v>
      </c>
      <c r="B1330" t="s">
        <v>124</v>
      </c>
      <c r="C1330">
        <v>1.1500892857142857</v>
      </c>
      <c r="D1330" t="s">
        <v>134</v>
      </c>
    </row>
    <row r="1331" spans="1:4" x14ac:dyDescent="0.25">
      <c r="A1331">
        <v>12069</v>
      </c>
      <c r="B1331" t="s">
        <v>125</v>
      </c>
      <c r="C1331">
        <v>276.52499999999998</v>
      </c>
      <c r="D1331" t="s">
        <v>134</v>
      </c>
    </row>
    <row r="1332" spans="1:4" x14ac:dyDescent="0.25">
      <c r="A1332">
        <v>12063</v>
      </c>
      <c r="B1332" t="s">
        <v>124</v>
      </c>
      <c r="C1332">
        <v>13.861424</v>
      </c>
      <c r="D1332" t="s">
        <v>134</v>
      </c>
    </row>
    <row r="1333" spans="1:4" x14ac:dyDescent="0.25">
      <c r="A1333">
        <v>12062</v>
      </c>
      <c r="B1333" t="s">
        <v>125</v>
      </c>
      <c r="C1333">
        <v>91.525000000000006</v>
      </c>
      <c r="D1333" t="s">
        <v>134</v>
      </c>
    </row>
    <row r="1334" spans="1:4" x14ac:dyDescent="0.25">
      <c r="A1334">
        <v>12061</v>
      </c>
      <c r="B1334" t="s">
        <v>124</v>
      </c>
      <c r="C1334">
        <v>13.41</v>
      </c>
      <c r="D1334" t="s">
        <v>134</v>
      </c>
    </row>
    <row r="1335" spans="1:4" x14ac:dyDescent="0.25">
      <c r="A1335">
        <v>12060</v>
      </c>
      <c r="B1335" t="s">
        <v>124</v>
      </c>
      <c r="C1335">
        <v>1.36</v>
      </c>
      <c r="D1335" t="s">
        <v>134</v>
      </c>
    </row>
    <row r="1336" spans="1:4" x14ac:dyDescent="0.25">
      <c r="A1336">
        <v>12059</v>
      </c>
      <c r="B1336" t="s">
        <v>124</v>
      </c>
      <c r="C1336">
        <v>7.5154249999999996</v>
      </c>
      <c r="D1336" t="s">
        <v>134</v>
      </c>
    </row>
    <row r="1337" spans="1:4" x14ac:dyDescent="0.25">
      <c r="A1337">
        <v>12055</v>
      </c>
      <c r="B1337" t="s">
        <v>124</v>
      </c>
      <c r="C1337">
        <v>5.9384199999999998</v>
      </c>
      <c r="D1337" t="s">
        <v>134</v>
      </c>
    </row>
    <row r="1338" spans="1:4" x14ac:dyDescent="0.25">
      <c r="A1338">
        <v>12052</v>
      </c>
      <c r="B1338" t="s">
        <v>125</v>
      </c>
      <c r="C1338">
        <v>1</v>
      </c>
      <c r="D1338" t="s">
        <v>134</v>
      </c>
    </row>
    <row r="1339" spans="1:4" x14ac:dyDescent="0.25">
      <c r="A1339">
        <v>12051</v>
      </c>
      <c r="B1339" t="s">
        <v>125</v>
      </c>
      <c r="C1339">
        <v>1</v>
      </c>
      <c r="D1339" t="s">
        <v>134</v>
      </c>
    </row>
    <row r="1340" spans="1:4" x14ac:dyDescent="0.25">
      <c r="A1340">
        <v>12050</v>
      </c>
      <c r="B1340" t="s">
        <v>125</v>
      </c>
      <c r="C1340">
        <v>0.3</v>
      </c>
      <c r="D1340" t="s">
        <v>134</v>
      </c>
    </row>
    <row r="1341" spans="1:4" x14ac:dyDescent="0.25">
      <c r="A1341">
        <v>12049</v>
      </c>
      <c r="B1341" t="s">
        <v>125</v>
      </c>
      <c r="C1341">
        <v>0.22</v>
      </c>
      <c r="D1341" t="s">
        <v>134</v>
      </c>
    </row>
    <row r="1342" spans="1:4" x14ac:dyDescent="0.25">
      <c r="A1342">
        <v>12048</v>
      </c>
      <c r="B1342" t="s">
        <v>125</v>
      </c>
      <c r="C1342">
        <v>0.22</v>
      </c>
      <c r="D1342" t="s">
        <v>134</v>
      </c>
    </row>
    <row r="1343" spans="1:4" x14ac:dyDescent="0.25">
      <c r="A1343">
        <v>12047</v>
      </c>
      <c r="B1343" t="s">
        <v>125</v>
      </c>
      <c r="C1343">
        <v>0.22</v>
      </c>
      <c r="D1343" t="s">
        <v>134</v>
      </c>
    </row>
    <row r="1344" spans="1:4" x14ac:dyDescent="0.25">
      <c r="A1344">
        <v>12046</v>
      </c>
      <c r="B1344" t="s">
        <v>125</v>
      </c>
      <c r="C1344">
        <v>77.542000000000002</v>
      </c>
      <c r="D1344" t="s">
        <v>134</v>
      </c>
    </row>
    <row r="1345" spans="1:4" x14ac:dyDescent="0.25">
      <c r="A1345">
        <v>12045</v>
      </c>
      <c r="B1345" t="s">
        <v>125</v>
      </c>
      <c r="C1345">
        <v>20.738888888888891</v>
      </c>
      <c r="D1345" t="s">
        <v>134</v>
      </c>
    </row>
    <row r="1346" spans="1:4" x14ac:dyDescent="0.25">
      <c r="A1346">
        <v>12044</v>
      </c>
      <c r="B1346" t="s">
        <v>125</v>
      </c>
      <c r="C1346">
        <v>0.45</v>
      </c>
      <c r="D1346" t="s">
        <v>134</v>
      </c>
    </row>
    <row r="1347" spans="1:4" x14ac:dyDescent="0.25">
      <c r="A1347">
        <v>12043</v>
      </c>
      <c r="B1347" t="s">
        <v>125</v>
      </c>
      <c r="C1347">
        <v>0.45</v>
      </c>
      <c r="D1347" t="s">
        <v>134</v>
      </c>
    </row>
    <row r="1348" spans="1:4" x14ac:dyDescent="0.25">
      <c r="A1348">
        <v>12042</v>
      </c>
      <c r="B1348" t="s">
        <v>125</v>
      </c>
      <c r="C1348">
        <v>0.7</v>
      </c>
      <c r="D1348" t="s">
        <v>134</v>
      </c>
    </row>
    <row r="1349" spans="1:4" x14ac:dyDescent="0.25">
      <c r="A1349">
        <v>119</v>
      </c>
      <c r="B1349" t="s">
        <v>124</v>
      </c>
      <c r="C1349">
        <v>15.451388888888891</v>
      </c>
      <c r="D1349" t="s">
        <v>134</v>
      </c>
    </row>
    <row r="1350" spans="1:4" x14ac:dyDescent="0.25">
      <c r="A1350">
        <v>11940</v>
      </c>
      <c r="B1350" t="s">
        <v>125</v>
      </c>
      <c r="C1350">
        <v>0.5</v>
      </c>
      <c r="D1350" t="s">
        <v>134</v>
      </c>
    </row>
    <row r="1351" spans="1:4" x14ac:dyDescent="0.25">
      <c r="A1351">
        <v>11939</v>
      </c>
      <c r="B1351" t="s">
        <v>125</v>
      </c>
      <c r="C1351">
        <v>0.5</v>
      </c>
      <c r="D1351" t="s">
        <v>134</v>
      </c>
    </row>
    <row r="1352" spans="1:4" x14ac:dyDescent="0.25">
      <c r="A1352">
        <v>11937</v>
      </c>
      <c r="B1352" t="s">
        <v>125</v>
      </c>
      <c r="C1352">
        <v>0.5</v>
      </c>
      <c r="D1352" t="s">
        <v>134</v>
      </c>
    </row>
    <row r="1353" spans="1:4" x14ac:dyDescent="0.25">
      <c r="A1353">
        <v>11936</v>
      </c>
      <c r="B1353" t="s">
        <v>125</v>
      </c>
      <c r="C1353">
        <v>0.5</v>
      </c>
      <c r="D1353" t="s">
        <v>134</v>
      </c>
    </row>
    <row r="1354" spans="1:4" x14ac:dyDescent="0.25">
      <c r="A1354">
        <v>11935</v>
      </c>
      <c r="B1354" t="s">
        <v>125</v>
      </c>
      <c r="C1354">
        <v>0.6</v>
      </c>
      <c r="D1354" t="s">
        <v>134</v>
      </c>
    </row>
    <row r="1355" spans="1:4" x14ac:dyDescent="0.25">
      <c r="A1355">
        <v>11934</v>
      </c>
      <c r="B1355" t="s">
        <v>124</v>
      </c>
      <c r="C1355">
        <v>2.0023833333333334</v>
      </c>
      <c r="D1355" t="s">
        <v>134</v>
      </c>
    </row>
    <row r="1356" spans="1:4" x14ac:dyDescent="0.25">
      <c r="A1356">
        <v>11933</v>
      </c>
      <c r="B1356" t="s">
        <v>124</v>
      </c>
      <c r="C1356">
        <v>1.14856</v>
      </c>
      <c r="D1356" t="s">
        <v>134</v>
      </c>
    </row>
    <row r="1357" spans="1:4" x14ac:dyDescent="0.25">
      <c r="A1357">
        <v>11932</v>
      </c>
      <c r="B1357" t="s">
        <v>124</v>
      </c>
      <c r="C1357">
        <v>1.7460466666666667</v>
      </c>
      <c r="D1357" t="s">
        <v>134</v>
      </c>
    </row>
    <row r="1358" spans="1:4" x14ac:dyDescent="0.25">
      <c r="A1358">
        <v>11931</v>
      </c>
      <c r="B1358" t="s">
        <v>125</v>
      </c>
      <c r="C1358">
        <v>13.559166666666668</v>
      </c>
      <c r="D1358" t="s">
        <v>134</v>
      </c>
    </row>
    <row r="1359" spans="1:4" x14ac:dyDescent="0.25">
      <c r="A1359">
        <v>11930</v>
      </c>
      <c r="B1359" t="s">
        <v>125</v>
      </c>
      <c r="C1359">
        <v>7.9801666666666664</v>
      </c>
      <c r="D1359" t="s">
        <v>134</v>
      </c>
    </row>
    <row r="1360" spans="1:4" x14ac:dyDescent="0.25">
      <c r="A1360">
        <v>11929</v>
      </c>
      <c r="B1360" t="s">
        <v>124</v>
      </c>
      <c r="C1360">
        <v>150.23499999999999</v>
      </c>
      <c r="D1360" t="s">
        <v>134</v>
      </c>
    </row>
    <row r="1361" spans="1:4" x14ac:dyDescent="0.25">
      <c r="A1361">
        <v>11899</v>
      </c>
      <c r="B1361" t="s">
        <v>125</v>
      </c>
      <c r="C1361">
        <v>0.5</v>
      </c>
      <c r="D1361" t="s">
        <v>134</v>
      </c>
    </row>
    <row r="1362" spans="1:4" x14ac:dyDescent="0.25">
      <c r="A1362">
        <v>11891</v>
      </c>
      <c r="B1362" t="s">
        <v>125</v>
      </c>
      <c r="C1362">
        <v>5.0846666666666662</v>
      </c>
      <c r="D1362" t="s">
        <v>134</v>
      </c>
    </row>
    <row r="1363" spans="1:4" x14ac:dyDescent="0.25">
      <c r="A1363">
        <v>11890</v>
      </c>
      <c r="B1363" t="s">
        <v>125</v>
      </c>
      <c r="C1363">
        <v>5.93</v>
      </c>
      <c r="D1363" t="s">
        <v>134</v>
      </c>
    </row>
    <row r="1364" spans="1:4" x14ac:dyDescent="0.25">
      <c r="A1364">
        <v>11889</v>
      </c>
      <c r="B1364" t="s">
        <v>125</v>
      </c>
      <c r="C1364">
        <v>8.4745000000000008</v>
      </c>
      <c r="D1364" t="s">
        <v>134</v>
      </c>
    </row>
    <row r="1365" spans="1:4" x14ac:dyDescent="0.25">
      <c r="A1365">
        <v>11888</v>
      </c>
      <c r="B1365" t="s">
        <v>125</v>
      </c>
      <c r="C1365">
        <v>6.779583333333334</v>
      </c>
      <c r="D1365" t="s">
        <v>134</v>
      </c>
    </row>
    <row r="1366" spans="1:4" x14ac:dyDescent="0.25">
      <c r="A1366">
        <v>11887</v>
      </c>
      <c r="B1366" t="s">
        <v>125</v>
      </c>
      <c r="C1366">
        <v>6.7796666666666665</v>
      </c>
      <c r="D1366" t="s">
        <v>134</v>
      </c>
    </row>
    <row r="1367" spans="1:4" x14ac:dyDescent="0.25">
      <c r="A1367">
        <v>11886</v>
      </c>
      <c r="B1367" t="s">
        <v>125</v>
      </c>
      <c r="C1367">
        <v>5.0846666666666662</v>
      </c>
      <c r="D1367" t="s">
        <v>134</v>
      </c>
    </row>
    <row r="1368" spans="1:4" x14ac:dyDescent="0.25">
      <c r="A1368">
        <v>11885</v>
      </c>
      <c r="B1368" t="s">
        <v>125</v>
      </c>
      <c r="C1368">
        <v>21.017499999999998</v>
      </c>
      <c r="D1368" t="s">
        <v>134</v>
      </c>
    </row>
    <row r="1369" spans="1:4" x14ac:dyDescent="0.25">
      <c r="A1369">
        <v>11884</v>
      </c>
      <c r="B1369" t="s">
        <v>125</v>
      </c>
      <c r="C1369">
        <v>43.465000000000003</v>
      </c>
      <c r="D1369" t="s">
        <v>134</v>
      </c>
    </row>
    <row r="1370" spans="1:4" x14ac:dyDescent="0.25">
      <c r="A1370">
        <v>11883</v>
      </c>
      <c r="B1370" t="s">
        <v>125</v>
      </c>
      <c r="C1370">
        <v>32.090000000000003</v>
      </c>
      <c r="D1370" t="s">
        <v>134</v>
      </c>
    </row>
    <row r="1371" spans="1:4" x14ac:dyDescent="0.25">
      <c r="A1371">
        <v>11882</v>
      </c>
      <c r="B1371" t="s">
        <v>125</v>
      </c>
      <c r="C1371">
        <v>101.6</v>
      </c>
      <c r="D1371" t="s">
        <v>134</v>
      </c>
    </row>
    <row r="1372" spans="1:4" x14ac:dyDescent="0.25">
      <c r="A1372">
        <v>11881</v>
      </c>
      <c r="B1372" t="s">
        <v>125</v>
      </c>
      <c r="C1372">
        <v>11.61</v>
      </c>
      <c r="D1372" t="s">
        <v>134</v>
      </c>
    </row>
    <row r="1373" spans="1:4" x14ac:dyDescent="0.25">
      <c r="A1373">
        <v>11880</v>
      </c>
      <c r="B1373" t="s">
        <v>125</v>
      </c>
      <c r="C1373">
        <v>160.93</v>
      </c>
      <c r="D1373" t="s">
        <v>134</v>
      </c>
    </row>
    <row r="1374" spans="1:4" x14ac:dyDescent="0.25">
      <c r="A1374">
        <v>11879</v>
      </c>
      <c r="B1374" t="s">
        <v>125</v>
      </c>
      <c r="C1374">
        <v>5.7960000000000003</v>
      </c>
      <c r="D1374" t="s">
        <v>134</v>
      </c>
    </row>
    <row r="1375" spans="1:4" x14ac:dyDescent="0.25">
      <c r="A1375">
        <v>11878</v>
      </c>
      <c r="B1375" t="s">
        <v>125</v>
      </c>
      <c r="C1375">
        <v>4.83</v>
      </c>
      <c r="D1375" t="s">
        <v>134</v>
      </c>
    </row>
    <row r="1376" spans="1:4" x14ac:dyDescent="0.25">
      <c r="A1376">
        <v>11877</v>
      </c>
      <c r="B1376" t="s">
        <v>125</v>
      </c>
      <c r="C1376">
        <v>2.5683333333333334</v>
      </c>
      <c r="D1376" t="s">
        <v>134</v>
      </c>
    </row>
    <row r="1377" spans="1:4" x14ac:dyDescent="0.25">
      <c r="A1377">
        <v>11876</v>
      </c>
      <c r="B1377" t="s">
        <v>125</v>
      </c>
      <c r="C1377">
        <v>8.0516666666666676</v>
      </c>
      <c r="D1377" t="s">
        <v>134</v>
      </c>
    </row>
    <row r="1378" spans="1:4" x14ac:dyDescent="0.25">
      <c r="A1378">
        <v>11875</v>
      </c>
      <c r="B1378" t="s">
        <v>125</v>
      </c>
      <c r="C1378">
        <v>2.5758333333333332</v>
      </c>
      <c r="D1378" t="s">
        <v>134</v>
      </c>
    </row>
    <row r="1379" spans="1:4" x14ac:dyDescent="0.25">
      <c r="A1379">
        <v>11874</v>
      </c>
      <c r="B1379" t="s">
        <v>125</v>
      </c>
      <c r="C1379">
        <v>8.73</v>
      </c>
      <c r="D1379" t="s">
        <v>134</v>
      </c>
    </row>
    <row r="1380" spans="1:4" x14ac:dyDescent="0.25">
      <c r="A1380">
        <v>11873</v>
      </c>
      <c r="B1380" t="s">
        <v>125</v>
      </c>
      <c r="C1380">
        <v>11.864444444444443</v>
      </c>
      <c r="D1380" t="s">
        <v>134</v>
      </c>
    </row>
    <row r="1381" spans="1:4" x14ac:dyDescent="0.25">
      <c r="A1381">
        <v>11872</v>
      </c>
      <c r="B1381" t="s">
        <v>125</v>
      </c>
      <c r="C1381">
        <v>4.2371428571428575</v>
      </c>
      <c r="D1381" t="s">
        <v>134</v>
      </c>
    </row>
    <row r="1382" spans="1:4" x14ac:dyDescent="0.25">
      <c r="A1382">
        <v>11871</v>
      </c>
      <c r="B1382" t="s">
        <v>125</v>
      </c>
      <c r="C1382">
        <v>5.4882142857142853</v>
      </c>
      <c r="D1382" t="s">
        <v>134</v>
      </c>
    </row>
    <row r="1383" spans="1:4" x14ac:dyDescent="0.25">
      <c r="A1383">
        <v>11870</v>
      </c>
      <c r="B1383" t="s">
        <v>124</v>
      </c>
      <c r="C1383">
        <v>2.8500191176470588</v>
      </c>
      <c r="D1383" t="s">
        <v>134</v>
      </c>
    </row>
    <row r="1384" spans="1:4" x14ac:dyDescent="0.25">
      <c r="A1384">
        <v>11869</v>
      </c>
      <c r="B1384" t="s">
        <v>124</v>
      </c>
      <c r="C1384">
        <v>1.8468346153846154</v>
      </c>
      <c r="D1384" t="s">
        <v>134</v>
      </c>
    </row>
    <row r="1385" spans="1:4" x14ac:dyDescent="0.25">
      <c r="A1385">
        <v>11868</v>
      </c>
      <c r="B1385" t="s">
        <v>124</v>
      </c>
      <c r="C1385">
        <v>41.278150000000004</v>
      </c>
      <c r="D1385" t="s">
        <v>134</v>
      </c>
    </row>
    <row r="1386" spans="1:4" x14ac:dyDescent="0.25">
      <c r="A1386">
        <v>11867</v>
      </c>
      <c r="B1386" t="s">
        <v>124</v>
      </c>
      <c r="C1386">
        <v>2.2515761904761904</v>
      </c>
      <c r="D1386" t="s">
        <v>134</v>
      </c>
    </row>
    <row r="1387" spans="1:4" x14ac:dyDescent="0.25">
      <c r="A1387">
        <v>11866</v>
      </c>
      <c r="B1387" t="s">
        <v>124</v>
      </c>
      <c r="C1387">
        <v>2.5564374999999999</v>
      </c>
      <c r="D1387" t="s">
        <v>134</v>
      </c>
    </row>
    <row r="1388" spans="1:4" x14ac:dyDescent="0.25">
      <c r="A1388">
        <v>11865</v>
      </c>
      <c r="B1388" t="s">
        <v>124</v>
      </c>
      <c r="C1388">
        <v>4.1759230769230777</v>
      </c>
      <c r="D1388" t="s">
        <v>134</v>
      </c>
    </row>
    <row r="1389" spans="1:4" x14ac:dyDescent="0.25">
      <c r="A1389">
        <v>11864</v>
      </c>
      <c r="B1389" t="s">
        <v>124</v>
      </c>
      <c r="C1389">
        <v>0.39527272727272728</v>
      </c>
      <c r="D1389" t="s">
        <v>134</v>
      </c>
    </row>
    <row r="1390" spans="1:4" x14ac:dyDescent="0.25">
      <c r="A1390">
        <v>11863</v>
      </c>
      <c r="B1390" t="s">
        <v>124</v>
      </c>
      <c r="C1390">
        <v>1.1962552631578949</v>
      </c>
      <c r="D1390" t="s">
        <v>134</v>
      </c>
    </row>
    <row r="1391" spans="1:4" x14ac:dyDescent="0.25">
      <c r="A1391">
        <v>11862</v>
      </c>
      <c r="B1391" t="s">
        <v>124</v>
      </c>
      <c r="C1391">
        <v>6.0084211267605641</v>
      </c>
      <c r="D1391" t="s">
        <v>134</v>
      </c>
    </row>
    <row r="1392" spans="1:4" x14ac:dyDescent="0.25">
      <c r="A1392">
        <v>11861</v>
      </c>
      <c r="B1392" t="s">
        <v>124</v>
      </c>
      <c r="C1392">
        <v>12.272958333333333</v>
      </c>
      <c r="D1392" t="s">
        <v>134</v>
      </c>
    </row>
    <row r="1393" spans="1:4" x14ac:dyDescent="0.25">
      <c r="A1393">
        <v>11860</v>
      </c>
      <c r="B1393" t="s">
        <v>124</v>
      </c>
      <c r="C1393">
        <v>1.2318594594594594</v>
      </c>
      <c r="D1393" t="s">
        <v>134</v>
      </c>
    </row>
    <row r="1394" spans="1:4" x14ac:dyDescent="0.25">
      <c r="A1394">
        <v>11859</v>
      </c>
      <c r="B1394" t="s">
        <v>124</v>
      </c>
      <c r="C1394">
        <v>46.567339181286549</v>
      </c>
      <c r="D1394" t="s">
        <v>134</v>
      </c>
    </row>
    <row r="1395" spans="1:4" x14ac:dyDescent="0.25">
      <c r="A1395">
        <v>11858</v>
      </c>
      <c r="B1395" t="s">
        <v>28</v>
      </c>
      <c r="C1395">
        <v>1.1015999999999999</v>
      </c>
      <c r="D1395" t="s">
        <v>134</v>
      </c>
    </row>
    <row r="1396" spans="1:4" x14ac:dyDescent="0.25">
      <c r="A1396">
        <v>11857</v>
      </c>
      <c r="B1396" t="s">
        <v>125</v>
      </c>
      <c r="C1396">
        <v>0.7</v>
      </c>
      <c r="D1396" t="s">
        <v>134</v>
      </c>
    </row>
    <row r="1397" spans="1:4" x14ac:dyDescent="0.25">
      <c r="A1397">
        <v>11851</v>
      </c>
      <c r="B1397" t="s">
        <v>124</v>
      </c>
      <c r="C1397">
        <v>5.7030285714285714E-2</v>
      </c>
      <c r="D1397" t="s">
        <v>134</v>
      </c>
    </row>
    <row r="1398" spans="1:4" x14ac:dyDescent="0.25">
      <c r="A1398">
        <v>11850</v>
      </c>
      <c r="B1398" t="s">
        <v>124</v>
      </c>
      <c r="C1398">
        <v>21.107500000000002</v>
      </c>
      <c r="D1398" t="s">
        <v>134</v>
      </c>
    </row>
    <row r="1399" spans="1:4" x14ac:dyDescent="0.25">
      <c r="A1399">
        <v>11849</v>
      </c>
      <c r="B1399" t="s">
        <v>124</v>
      </c>
      <c r="C1399">
        <v>2.9359999999999999</v>
      </c>
      <c r="D1399" t="s">
        <v>134</v>
      </c>
    </row>
    <row r="1400" spans="1:4" x14ac:dyDescent="0.25">
      <c r="A1400">
        <v>11848</v>
      </c>
      <c r="B1400" t="s">
        <v>124</v>
      </c>
      <c r="C1400">
        <v>4.5104647058823524</v>
      </c>
      <c r="D1400" t="s">
        <v>134</v>
      </c>
    </row>
    <row r="1401" spans="1:4" x14ac:dyDescent="0.25">
      <c r="A1401">
        <v>11847</v>
      </c>
      <c r="B1401" t="s">
        <v>124</v>
      </c>
      <c r="C1401">
        <v>13.555999999999999</v>
      </c>
      <c r="D1401" t="s">
        <v>134</v>
      </c>
    </row>
    <row r="1402" spans="1:4" x14ac:dyDescent="0.25">
      <c r="A1402">
        <v>11845</v>
      </c>
      <c r="B1402" t="s">
        <v>124</v>
      </c>
      <c r="C1402">
        <v>37.558754406580491</v>
      </c>
      <c r="D1402" t="s">
        <v>134</v>
      </c>
    </row>
    <row r="1403" spans="1:4" x14ac:dyDescent="0.25">
      <c r="A1403">
        <v>11829</v>
      </c>
      <c r="B1403" t="s">
        <v>124</v>
      </c>
      <c r="C1403">
        <v>10.855742128935532</v>
      </c>
      <c r="D1403" t="s">
        <v>134</v>
      </c>
    </row>
    <row r="1404" spans="1:4" x14ac:dyDescent="0.25">
      <c r="A1404">
        <v>11828</v>
      </c>
      <c r="B1404" t="s">
        <v>124</v>
      </c>
      <c r="C1404">
        <v>0.37723375170871132</v>
      </c>
      <c r="D1404" t="s">
        <v>134</v>
      </c>
    </row>
    <row r="1405" spans="1:4" x14ac:dyDescent="0.25">
      <c r="A1405">
        <v>11826</v>
      </c>
      <c r="B1405" t="s">
        <v>124</v>
      </c>
      <c r="C1405">
        <v>2.1363500000000002</v>
      </c>
      <c r="D1405" t="s">
        <v>134</v>
      </c>
    </row>
    <row r="1406" spans="1:4" x14ac:dyDescent="0.25">
      <c r="A1406">
        <v>11825</v>
      </c>
      <c r="B1406" t="s">
        <v>124</v>
      </c>
      <c r="C1406">
        <v>1.29958</v>
      </c>
      <c r="D1406" t="s">
        <v>134</v>
      </c>
    </row>
    <row r="1407" spans="1:4" x14ac:dyDescent="0.25">
      <c r="A1407">
        <v>11824</v>
      </c>
      <c r="B1407" t="s">
        <v>124</v>
      </c>
      <c r="C1407">
        <v>21.096222380612971</v>
      </c>
      <c r="D1407" t="s">
        <v>134</v>
      </c>
    </row>
    <row r="1408" spans="1:4" x14ac:dyDescent="0.25">
      <c r="A1408">
        <v>11823</v>
      </c>
      <c r="B1408" t="s">
        <v>124</v>
      </c>
      <c r="C1408">
        <v>4.5910735632183908</v>
      </c>
      <c r="D1408" t="s">
        <v>134</v>
      </c>
    </row>
    <row r="1409" spans="1:4" x14ac:dyDescent="0.25">
      <c r="A1409">
        <v>11822</v>
      </c>
      <c r="B1409" t="s">
        <v>125</v>
      </c>
      <c r="C1409">
        <v>0.62709999999999999</v>
      </c>
      <c r="D1409" t="s">
        <v>134</v>
      </c>
    </row>
    <row r="1410" spans="1:4" x14ac:dyDescent="0.25">
      <c r="A1410">
        <v>11815</v>
      </c>
      <c r="B1410" t="s">
        <v>125</v>
      </c>
      <c r="C1410">
        <v>9.5</v>
      </c>
      <c r="D1410" t="s">
        <v>134</v>
      </c>
    </row>
    <row r="1411" spans="1:4" x14ac:dyDescent="0.25">
      <c r="A1411">
        <v>11814</v>
      </c>
      <c r="B1411" t="s">
        <v>28</v>
      </c>
      <c r="C1411">
        <v>0.32</v>
      </c>
      <c r="D1411" t="s">
        <v>134</v>
      </c>
    </row>
    <row r="1412" spans="1:4" x14ac:dyDescent="0.25">
      <c r="A1412">
        <v>11813</v>
      </c>
      <c r="B1412" t="s">
        <v>28</v>
      </c>
      <c r="C1412">
        <v>0.16519999999999999</v>
      </c>
      <c r="D1412" t="s">
        <v>134</v>
      </c>
    </row>
    <row r="1413" spans="1:4" x14ac:dyDescent="0.25">
      <c r="A1413">
        <v>11812</v>
      </c>
      <c r="B1413" t="s">
        <v>124</v>
      </c>
      <c r="C1413">
        <v>38.611111111111107</v>
      </c>
      <c r="D1413" t="s">
        <v>134</v>
      </c>
    </row>
    <row r="1414" spans="1:4" x14ac:dyDescent="0.25">
      <c r="A1414">
        <v>11811</v>
      </c>
      <c r="B1414" t="s">
        <v>125</v>
      </c>
      <c r="C1414">
        <v>0.14400000000000002</v>
      </c>
      <c r="D1414" t="s">
        <v>134</v>
      </c>
    </row>
    <row r="1415" spans="1:4" x14ac:dyDescent="0.25">
      <c r="A1415">
        <v>11787</v>
      </c>
      <c r="B1415" t="s">
        <v>124</v>
      </c>
      <c r="C1415">
        <v>26.388400000000001</v>
      </c>
      <c r="D1415" t="s">
        <v>134</v>
      </c>
    </row>
    <row r="1416" spans="1:4" x14ac:dyDescent="0.25">
      <c r="A1416">
        <v>11785</v>
      </c>
      <c r="B1416" t="s">
        <v>124</v>
      </c>
      <c r="C1416">
        <v>0.71109999999999995</v>
      </c>
      <c r="D1416" t="s">
        <v>134</v>
      </c>
    </row>
    <row r="1417" spans="1:4" x14ac:dyDescent="0.25">
      <c r="A1417">
        <v>11783</v>
      </c>
      <c r="B1417" t="s">
        <v>124</v>
      </c>
      <c r="C1417">
        <v>1.0455000000000001</v>
      </c>
      <c r="D1417" t="s">
        <v>134</v>
      </c>
    </row>
    <row r="1418" spans="1:4" x14ac:dyDescent="0.25">
      <c r="A1418">
        <v>11782</v>
      </c>
      <c r="B1418" t="s">
        <v>124</v>
      </c>
      <c r="C1418">
        <v>7.0420599999999993</v>
      </c>
      <c r="D1418" t="s">
        <v>134</v>
      </c>
    </row>
    <row r="1419" spans="1:4" x14ac:dyDescent="0.25">
      <c r="A1419">
        <v>11780</v>
      </c>
      <c r="B1419" t="s">
        <v>26</v>
      </c>
      <c r="C1419">
        <v>46.610000000000007</v>
      </c>
      <c r="D1419" t="s">
        <v>134</v>
      </c>
    </row>
    <row r="1420" spans="1:4" x14ac:dyDescent="0.25">
      <c r="A1420">
        <v>11779</v>
      </c>
      <c r="B1420" t="s">
        <v>124</v>
      </c>
      <c r="C1420">
        <v>39.815072463768111</v>
      </c>
      <c r="D1420" t="s">
        <v>134</v>
      </c>
    </row>
    <row r="1421" spans="1:4" x14ac:dyDescent="0.25">
      <c r="A1421">
        <v>11733</v>
      </c>
      <c r="B1421" t="s">
        <v>125</v>
      </c>
      <c r="C1421">
        <v>0.63549999999999995</v>
      </c>
      <c r="D1421" t="s">
        <v>134</v>
      </c>
    </row>
    <row r="1422" spans="1:4" x14ac:dyDescent="0.25">
      <c r="A1422">
        <v>11732</v>
      </c>
      <c r="B1422" t="s">
        <v>124</v>
      </c>
      <c r="C1422">
        <v>22.19716</v>
      </c>
      <c r="D1422" t="s">
        <v>134</v>
      </c>
    </row>
    <row r="1423" spans="1:4" x14ac:dyDescent="0.25">
      <c r="A1423">
        <v>11731</v>
      </c>
      <c r="B1423" t="s">
        <v>124</v>
      </c>
      <c r="C1423">
        <v>52.188699999999997</v>
      </c>
      <c r="D1423" t="s">
        <v>134</v>
      </c>
    </row>
    <row r="1424" spans="1:4" x14ac:dyDescent="0.25">
      <c r="A1424">
        <v>11724</v>
      </c>
      <c r="B1424" t="s">
        <v>124</v>
      </c>
      <c r="C1424">
        <v>6.1590821256038648</v>
      </c>
      <c r="D1424" t="s">
        <v>134</v>
      </c>
    </row>
    <row r="1425" spans="1:4" x14ac:dyDescent="0.25">
      <c r="A1425">
        <v>11616</v>
      </c>
      <c r="B1425" t="s">
        <v>124</v>
      </c>
      <c r="C1425">
        <v>1.6702000000000001</v>
      </c>
      <c r="D1425" t="s">
        <v>134</v>
      </c>
    </row>
    <row r="1426" spans="1:4" x14ac:dyDescent="0.25">
      <c r="A1426">
        <v>11615</v>
      </c>
      <c r="B1426" t="s">
        <v>124</v>
      </c>
      <c r="C1426">
        <v>2.3848250000000002</v>
      </c>
      <c r="D1426" t="s">
        <v>134</v>
      </c>
    </row>
    <row r="1427" spans="1:4" x14ac:dyDescent="0.25">
      <c r="A1427">
        <v>11614</v>
      </c>
      <c r="B1427" t="s">
        <v>124</v>
      </c>
      <c r="C1427">
        <v>1.337405</v>
      </c>
      <c r="D1427" t="s">
        <v>134</v>
      </c>
    </row>
    <row r="1428" spans="1:4" x14ac:dyDescent="0.25">
      <c r="A1428">
        <v>11579</v>
      </c>
      <c r="B1428" t="s">
        <v>124</v>
      </c>
      <c r="C1428">
        <v>2.0023499999999999</v>
      </c>
      <c r="D1428" t="s">
        <v>134</v>
      </c>
    </row>
    <row r="1429" spans="1:4" x14ac:dyDescent="0.25">
      <c r="A1429">
        <v>11578</v>
      </c>
      <c r="B1429" t="s">
        <v>124</v>
      </c>
      <c r="C1429">
        <v>6.1633263157894733</v>
      </c>
      <c r="D1429" t="s">
        <v>134</v>
      </c>
    </row>
    <row r="1430" spans="1:4" x14ac:dyDescent="0.25">
      <c r="A1430">
        <v>11577</v>
      </c>
      <c r="B1430" t="s">
        <v>124</v>
      </c>
      <c r="C1430">
        <v>10.620612000000001</v>
      </c>
      <c r="D1430" t="s">
        <v>134</v>
      </c>
    </row>
    <row r="1431" spans="1:4" x14ac:dyDescent="0.25">
      <c r="A1431">
        <v>11576</v>
      </c>
      <c r="B1431" t="s">
        <v>124</v>
      </c>
      <c r="C1431">
        <v>6.9661538461538459</v>
      </c>
      <c r="D1431" t="s">
        <v>134</v>
      </c>
    </row>
    <row r="1432" spans="1:4" x14ac:dyDescent="0.25">
      <c r="A1432">
        <v>11575</v>
      </c>
      <c r="B1432" t="s">
        <v>124</v>
      </c>
      <c r="C1432">
        <v>2.3688238095238097</v>
      </c>
      <c r="D1432" t="s">
        <v>134</v>
      </c>
    </row>
    <row r="1433" spans="1:4" x14ac:dyDescent="0.25">
      <c r="A1433">
        <v>11574</v>
      </c>
      <c r="B1433" t="s">
        <v>124</v>
      </c>
      <c r="C1433">
        <v>10.6706</v>
      </c>
      <c r="D1433" t="s">
        <v>134</v>
      </c>
    </row>
    <row r="1434" spans="1:4" x14ac:dyDescent="0.25">
      <c r="A1434">
        <v>11573</v>
      </c>
      <c r="B1434" t="s">
        <v>124</v>
      </c>
      <c r="C1434">
        <v>2.9396956521739135</v>
      </c>
      <c r="D1434" t="s">
        <v>134</v>
      </c>
    </row>
    <row r="1435" spans="1:4" x14ac:dyDescent="0.25">
      <c r="A1435">
        <v>11572</v>
      </c>
      <c r="B1435" t="s">
        <v>124</v>
      </c>
      <c r="C1435">
        <v>23.933720000000001</v>
      </c>
      <c r="D1435" t="s">
        <v>134</v>
      </c>
    </row>
    <row r="1436" spans="1:4" x14ac:dyDescent="0.25">
      <c r="A1436">
        <v>11571</v>
      </c>
      <c r="B1436" t="s">
        <v>124</v>
      </c>
      <c r="C1436">
        <v>7.5849062500000004</v>
      </c>
      <c r="D1436" t="s">
        <v>134</v>
      </c>
    </row>
    <row r="1437" spans="1:4" x14ac:dyDescent="0.25">
      <c r="A1437">
        <v>11570</v>
      </c>
      <c r="B1437" t="s">
        <v>124</v>
      </c>
      <c r="C1437">
        <v>7.5154375</v>
      </c>
      <c r="D1437" t="s">
        <v>134</v>
      </c>
    </row>
    <row r="1438" spans="1:4" x14ac:dyDescent="0.25">
      <c r="A1438">
        <v>11569</v>
      </c>
      <c r="B1438" t="s">
        <v>124</v>
      </c>
      <c r="C1438">
        <v>10.01872340425532</v>
      </c>
      <c r="D1438" t="s">
        <v>134</v>
      </c>
    </row>
    <row r="1439" spans="1:4" x14ac:dyDescent="0.25">
      <c r="A1439">
        <v>11568</v>
      </c>
      <c r="B1439" t="s">
        <v>124</v>
      </c>
      <c r="C1439">
        <v>11.345103833865814</v>
      </c>
      <c r="D1439" t="s">
        <v>134</v>
      </c>
    </row>
    <row r="1440" spans="1:4" x14ac:dyDescent="0.25">
      <c r="A1440">
        <v>11567</v>
      </c>
      <c r="B1440" t="s">
        <v>124</v>
      </c>
      <c r="C1440">
        <v>54.522529761904764</v>
      </c>
      <c r="D1440" t="s">
        <v>134</v>
      </c>
    </row>
    <row r="1441" spans="1:4" x14ac:dyDescent="0.25">
      <c r="A1441">
        <v>11566</v>
      </c>
      <c r="B1441" t="s">
        <v>28</v>
      </c>
      <c r="C1441">
        <v>59</v>
      </c>
      <c r="D1441" t="s">
        <v>134</v>
      </c>
    </row>
    <row r="1442" spans="1:4" x14ac:dyDescent="0.25">
      <c r="A1442">
        <v>11565</v>
      </c>
      <c r="B1442" t="s">
        <v>124</v>
      </c>
      <c r="C1442">
        <v>12.71</v>
      </c>
      <c r="D1442" t="s">
        <v>134</v>
      </c>
    </row>
    <row r="1443" spans="1:4" x14ac:dyDescent="0.25">
      <c r="A1443">
        <v>11564</v>
      </c>
      <c r="B1443" t="s">
        <v>124</v>
      </c>
      <c r="C1443">
        <v>6.1</v>
      </c>
      <c r="D1443" t="s">
        <v>134</v>
      </c>
    </row>
    <row r="1444" spans="1:4" x14ac:dyDescent="0.25">
      <c r="A1444">
        <v>11563</v>
      </c>
      <c r="B1444" t="s">
        <v>124</v>
      </c>
      <c r="C1444">
        <v>3.9</v>
      </c>
      <c r="D1444" t="s">
        <v>134</v>
      </c>
    </row>
    <row r="1445" spans="1:4" x14ac:dyDescent="0.25">
      <c r="A1445">
        <v>11562</v>
      </c>
      <c r="B1445" t="s">
        <v>124</v>
      </c>
      <c r="C1445">
        <v>25.42</v>
      </c>
      <c r="D1445" t="s">
        <v>134</v>
      </c>
    </row>
    <row r="1446" spans="1:4" x14ac:dyDescent="0.25">
      <c r="A1446">
        <v>11561</v>
      </c>
      <c r="B1446" t="s">
        <v>124</v>
      </c>
      <c r="C1446">
        <v>28.006</v>
      </c>
      <c r="D1446" t="s">
        <v>134</v>
      </c>
    </row>
    <row r="1447" spans="1:4" x14ac:dyDescent="0.25">
      <c r="A1447">
        <v>11560</v>
      </c>
      <c r="B1447" t="s">
        <v>124</v>
      </c>
      <c r="C1447">
        <v>13.56</v>
      </c>
      <c r="D1447" t="s">
        <v>134</v>
      </c>
    </row>
    <row r="1448" spans="1:4" x14ac:dyDescent="0.25">
      <c r="A1448">
        <v>11559</v>
      </c>
      <c r="B1448" t="s">
        <v>124</v>
      </c>
      <c r="C1448">
        <v>32.203125</v>
      </c>
      <c r="D1448" t="s">
        <v>134</v>
      </c>
    </row>
    <row r="1449" spans="1:4" x14ac:dyDescent="0.25">
      <c r="A1449">
        <v>11558</v>
      </c>
      <c r="B1449" t="s">
        <v>124</v>
      </c>
      <c r="C1449">
        <v>3.35</v>
      </c>
      <c r="D1449" t="s">
        <v>134</v>
      </c>
    </row>
    <row r="1450" spans="1:4" x14ac:dyDescent="0.25">
      <c r="A1450">
        <v>11557</v>
      </c>
      <c r="B1450" t="s">
        <v>124</v>
      </c>
      <c r="C1450">
        <v>43.145454545454541</v>
      </c>
      <c r="D1450" t="s">
        <v>134</v>
      </c>
    </row>
    <row r="1451" spans="1:4" x14ac:dyDescent="0.25">
      <c r="A1451">
        <v>11556</v>
      </c>
      <c r="B1451" t="s">
        <v>124</v>
      </c>
      <c r="C1451">
        <v>50.731382978723403</v>
      </c>
      <c r="D1451" t="s">
        <v>134</v>
      </c>
    </row>
    <row r="1452" spans="1:4" x14ac:dyDescent="0.25">
      <c r="A1452">
        <v>11555</v>
      </c>
      <c r="B1452" t="s">
        <v>124</v>
      </c>
      <c r="C1452">
        <v>14.5</v>
      </c>
      <c r="D1452" t="s">
        <v>134</v>
      </c>
    </row>
    <row r="1453" spans="1:4" x14ac:dyDescent="0.25">
      <c r="A1453">
        <v>11554</v>
      </c>
      <c r="B1453" t="s">
        <v>124</v>
      </c>
      <c r="C1453">
        <v>33.776650955097992</v>
      </c>
      <c r="D1453" t="s">
        <v>134</v>
      </c>
    </row>
    <row r="1454" spans="1:4" x14ac:dyDescent="0.25">
      <c r="A1454">
        <v>11546</v>
      </c>
      <c r="B1454" t="s">
        <v>126</v>
      </c>
      <c r="C1454">
        <v>2.7966666666666669</v>
      </c>
      <c r="D1454" t="s">
        <v>134</v>
      </c>
    </row>
    <row r="1455" spans="1:4" x14ac:dyDescent="0.25">
      <c r="A1455">
        <v>11539</v>
      </c>
      <c r="B1455" t="s">
        <v>124</v>
      </c>
      <c r="C1455">
        <v>5.618125</v>
      </c>
      <c r="D1455" t="s">
        <v>134</v>
      </c>
    </row>
    <row r="1456" spans="1:4" x14ac:dyDescent="0.25">
      <c r="A1456">
        <v>11538</v>
      </c>
      <c r="B1456" t="s">
        <v>124</v>
      </c>
      <c r="C1456">
        <v>12.326443335709195</v>
      </c>
      <c r="D1456" t="s">
        <v>134</v>
      </c>
    </row>
    <row r="1457" spans="1:4" x14ac:dyDescent="0.25">
      <c r="A1457">
        <v>11536</v>
      </c>
      <c r="B1457" t="s">
        <v>124</v>
      </c>
      <c r="C1457">
        <v>317.75</v>
      </c>
      <c r="D1457" t="s">
        <v>134</v>
      </c>
    </row>
    <row r="1458" spans="1:4" x14ac:dyDescent="0.25">
      <c r="A1458">
        <v>11535</v>
      </c>
      <c r="B1458" t="s">
        <v>124</v>
      </c>
      <c r="C1458">
        <v>17.5425</v>
      </c>
      <c r="D1458" t="s">
        <v>134</v>
      </c>
    </row>
    <row r="1459" spans="1:4" x14ac:dyDescent="0.25">
      <c r="A1459">
        <v>11534</v>
      </c>
      <c r="B1459" t="s">
        <v>124</v>
      </c>
      <c r="C1459">
        <v>12.71</v>
      </c>
      <c r="D1459" t="s">
        <v>134</v>
      </c>
    </row>
    <row r="1460" spans="1:4" x14ac:dyDescent="0.25">
      <c r="A1460">
        <v>11533</v>
      </c>
      <c r="B1460" t="s">
        <v>124</v>
      </c>
      <c r="C1460">
        <v>2.54</v>
      </c>
      <c r="D1460" t="s">
        <v>134</v>
      </c>
    </row>
    <row r="1461" spans="1:4" x14ac:dyDescent="0.25">
      <c r="A1461">
        <v>11532</v>
      </c>
      <c r="B1461" t="s">
        <v>124</v>
      </c>
      <c r="C1461">
        <v>111.2683</v>
      </c>
      <c r="D1461" t="s">
        <v>134</v>
      </c>
    </row>
    <row r="1462" spans="1:4" x14ac:dyDescent="0.25">
      <c r="A1462">
        <v>11475</v>
      </c>
      <c r="B1462" t="s">
        <v>124</v>
      </c>
      <c r="C1462">
        <v>3.7666227272727273</v>
      </c>
      <c r="D1462" t="s">
        <v>134</v>
      </c>
    </row>
    <row r="1463" spans="1:4" x14ac:dyDescent="0.25">
      <c r="A1463">
        <v>11475</v>
      </c>
      <c r="B1463" t="s">
        <v>124</v>
      </c>
      <c r="C1463">
        <v>3.8134883720930235</v>
      </c>
      <c r="D1463" t="s">
        <v>134</v>
      </c>
    </row>
    <row r="1464" spans="1:4" x14ac:dyDescent="0.25">
      <c r="A1464">
        <v>11474</v>
      </c>
      <c r="B1464" t="s">
        <v>124</v>
      </c>
      <c r="C1464">
        <v>3.7665375000000001</v>
      </c>
      <c r="D1464" t="s">
        <v>134</v>
      </c>
    </row>
    <row r="1465" spans="1:4" x14ac:dyDescent="0.25">
      <c r="A1465">
        <v>11474</v>
      </c>
      <c r="B1465" t="s">
        <v>124</v>
      </c>
      <c r="C1465">
        <v>4.7456766917293232</v>
      </c>
      <c r="D1465" t="s">
        <v>134</v>
      </c>
    </row>
    <row r="1466" spans="1:4" x14ac:dyDescent="0.25">
      <c r="A1466">
        <v>11471</v>
      </c>
      <c r="B1466" t="s">
        <v>124</v>
      </c>
      <c r="C1466">
        <v>19.491333333333333</v>
      </c>
      <c r="D1466" t="s">
        <v>134</v>
      </c>
    </row>
    <row r="1467" spans="1:4" x14ac:dyDescent="0.25">
      <c r="A1467">
        <v>1145</v>
      </c>
      <c r="B1467" t="s">
        <v>28</v>
      </c>
      <c r="C1467">
        <v>0.29659999999999997</v>
      </c>
      <c r="D1467" t="s">
        <v>134</v>
      </c>
    </row>
    <row r="1468" spans="1:4" x14ac:dyDescent="0.25">
      <c r="A1468">
        <v>11448</v>
      </c>
      <c r="B1468" t="s">
        <v>28</v>
      </c>
      <c r="C1468">
        <v>0.85</v>
      </c>
      <c r="D1468" t="s">
        <v>134</v>
      </c>
    </row>
    <row r="1469" spans="1:4" x14ac:dyDescent="0.25">
      <c r="A1469">
        <v>11439</v>
      </c>
      <c r="B1469" t="s">
        <v>124</v>
      </c>
      <c r="C1469">
        <v>39.530909090909084</v>
      </c>
      <c r="D1469" t="s">
        <v>134</v>
      </c>
    </row>
    <row r="1470" spans="1:4" x14ac:dyDescent="0.25">
      <c r="A1470">
        <v>1138</v>
      </c>
      <c r="B1470" t="s">
        <v>28</v>
      </c>
      <c r="C1470">
        <v>2.1099999999999997E-2</v>
      </c>
      <c r="D1470" t="s">
        <v>134</v>
      </c>
    </row>
    <row r="1471" spans="1:4" x14ac:dyDescent="0.25">
      <c r="A1471">
        <v>11357</v>
      </c>
      <c r="B1471" t="s">
        <v>125</v>
      </c>
      <c r="C1471">
        <v>0.5</v>
      </c>
      <c r="D1471" t="s">
        <v>134</v>
      </c>
    </row>
    <row r="1472" spans="1:4" x14ac:dyDescent="0.25">
      <c r="A1472">
        <v>11352</v>
      </c>
      <c r="B1472" t="s">
        <v>124</v>
      </c>
      <c r="C1472">
        <v>31.060000000000002</v>
      </c>
      <c r="D1472" t="s">
        <v>134</v>
      </c>
    </row>
    <row r="1473" spans="1:4" x14ac:dyDescent="0.25">
      <c r="A1473">
        <v>11351</v>
      </c>
      <c r="B1473" t="s">
        <v>124</v>
      </c>
      <c r="C1473">
        <v>2.4575</v>
      </c>
      <c r="D1473" t="s">
        <v>134</v>
      </c>
    </row>
    <row r="1474" spans="1:4" x14ac:dyDescent="0.25">
      <c r="A1474">
        <v>1132</v>
      </c>
      <c r="B1474" t="s">
        <v>28</v>
      </c>
      <c r="C1474">
        <v>4.0409999999999995</v>
      </c>
      <c r="D1474" t="s">
        <v>134</v>
      </c>
    </row>
    <row r="1475" spans="1:4" x14ac:dyDescent="0.25">
      <c r="A1475">
        <v>11283</v>
      </c>
      <c r="B1475" t="s">
        <v>125</v>
      </c>
      <c r="C1475">
        <v>25</v>
      </c>
      <c r="D1475" t="s">
        <v>134</v>
      </c>
    </row>
    <row r="1476" spans="1:4" x14ac:dyDescent="0.25">
      <c r="A1476">
        <v>11271</v>
      </c>
      <c r="B1476" t="s">
        <v>125</v>
      </c>
      <c r="C1476">
        <v>7.15</v>
      </c>
      <c r="D1476" t="s">
        <v>134</v>
      </c>
    </row>
    <row r="1477" spans="1:4" x14ac:dyDescent="0.25">
      <c r="A1477">
        <v>11268</v>
      </c>
      <c r="B1477" t="s">
        <v>124</v>
      </c>
      <c r="C1477">
        <v>5.4999999999999997E-3</v>
      </c>
      <c r="D1477" t="s">
        <v>134</v>
      </c>
    </row>
    <row r="1478" spans="1:4" x14ac:dyDescent="0.25">
      <c r="A1478">
        <v>11256</v>
      </c>
      <c r="B1478" t="s">
        <v>124</v>
      </c>
      <c r="C1478">
        <v>13.728260869565219</v>
      </c>
      <c r="D1478" t="s">
        <v>134</v>
      </c>
    </row>
    <row r="1479" spans="1:4" x14ac:dyDescent="0.25">
      <c r="A1479">
        <v>11252</v>
      </c>
      <c r="B1479" t="s">
        <v>124</v>
      </c>
      <c r="C1479">
        <v>15.239244444444445</v>
      </c>
      <c r="D1479" t="s">
        <v>134</v>
      </c>
    </row>
    <row r="1480" spans="1:4" x14ac:dyDescent="0.25">
      <c r="A1480">
        <v>11251</v>
      </c>
      <c r="B1480" t="s">
        <v>124</v>
      </c>
      <c r="C1480">
        <v>7.7072000000000003</v>
      </c>
      <c r="D1480" t="s">
        <v>134</v>
      </c>
    </row>
    <row r="1481" spans="1:4" x14ac:dyDescent="0.25">
      <c r="A1481">
        <v>11245</v>
      </c>
      <c r="B1481" t="s">
        <v>124</v>
      </c>
      <c r="C1481">
        <v>2.7958333333333329</v>
      </c>
      <c r="D1481" t="s">
        <v>134</v>
      </c>
    </row>
    <row r="1482" spans="1:4" x14ac:dyDescent="0.25">
      <c r="A1482">
        <v>11244</v>
      </c>
      <c r="B1482" t="s">
        <v>124</v>
      </c>
      <c r="C1482">
        <v>2.7966666666666669</v>
      </c>
      <c r="D1482" t="s">
        <v>134</v>
      </c>
    </row>
    <row r="1483" spans="1:4" x14ac:dyDescent="0.25">
      <c r="A1483">
        <v>11240</v>
      </c>
      <c r="B1483" t="s">
        <v>124</v>
      </c>
      <c r="C1483">
        <v>39.520400000000002</v>
      </c>
      <c r="D1483" t="s">
        <v>134</v>
      </c>
    </row>
    <row r="1484" spans="1:4" x14ac:dyDescent="0.25">
      <c r="A1484">
        <v>11239</v>
      </c>
      <c r="B1484" t="s">
        <v>124</v>
      </c>
      <c r="C1484">
        <v>1.9648333333333332</v>
      </c>
      <c r="D1484" t="s">
        <v>134</v>
      </c>
    </row>
    <row r="1485" spans="1:4" x14ac:dyDescent="0.25">
      <c r="A1485">
        <v>11238</v>
      </c>
      <c r="B1485" t="s">
        <v>124</v>
      </c>
      <c r="C1485">
        <v>2.9497095238095232</v>
      </c>
      <c r="D1485" t="s">
        <v>134</v>
      </c>
    </row>
    <row r="1486" spans="1:4" x14ac:dyDescent="0.25">
      <c r="A1486">
        <v>11237</v>
      </c>
      <c r="B1486" t="s">
        <v>124</v>
      </c>
      <c r="C1486">
        <v>3.2345683333333333</v>
      </c>
      <c r="D1486" t="s">
        <v>134</v>
      </c>
    </row>
    <row r="1487" spans="1:4" x14ac:dyDescent="0.25">
      <c r="A1487">
        <v>11236</v>
      </c>
      <c r="B1487" t="s">
        <v>124</v>
      </c>
      <c r="C1487">
        <v>1.5582083333333332</v>
      </c>
      <c r="D1487" t="s">
        <v>134</v>
      </c>
    </row>
    <row r="1488" spans="1:4" x14ac:dyDescent="0.25">
      <c r="A1488">
        <v>11233</v>
      </c>
      <c r="B1488" t="s">
        <v>28</v>
      </c>
      <c r="C1488">
        <v>0.55000000000000004</v>
      </c>
      <c r="D1488" t="s">
        <v>134</v>
      </c>
    </row>
    <row r="1489" spans="1:4" x14ac:dyDescent="0.25">
      <c r="A1489">
        <v>11228</v>
      </c>
      <c r="B1489" t="s">
        <v>124</v>
      </c>
      <c r="C1489">
        <v>11.0175</v>
      </c>
      <c r="D1489" t="s">
        <v>134</v>
      </c>
    </row>
    <row r="1490" spans="1:4" x14ac:dyDescent="0.25">
      <c r="A1490">
        <v>11227</v>
      </c>
      <c r="B1490" t="s">
        <v>124</v>
      </c>
      <c r="C1490">
        <v>27</v>
      </c>
      <c r="D1490" t="s">
        <v>134</v>
      </c>
    </row>
    <row r="1491" spans="1:4" x14ac:dyDescent="0.25">
      <c r="A1491">
        <v>11221</v>
      </c>
      <c r="B1491" t="s">
        <v>124</v>
      </c>
      <c r="C1491">
        <v>8.3799999999999999E-2</v>
      </c>
      <c r="D1491" t="s">
        <v>134</v>
      </c>
    </row>
    <row r="1492" spans="1:4" x14ac:dyDescent="0.25">
      <c r="A1492">
        <v>11220</v>
      </c>
      <c r="B1492" t="s">
        <v>124</v>
      </c>
      <c r="C1492">
        <v>5.6227</v>
      </c>
      <c r="D1492" t="s">
        <v>134</v>
      </c>
    </row>
    <row r="1493" spans="1:4" x14ac:dyDescent="0.25">
      <c r="A1493">
        <v>11219</v>
      </c>
      <c r="B1493" t="s">
        <v>124</v>
      </c>
      <c r="C1493">
        <v>10.483818181818181</v>
      </c>
      <c r="D1493" t="s">
        <v>134</v>
      </c>
    </row>
    <row r="1494" spans="1:4" x14ac:dyDescent="0.25">
      <c r="A1494">
        <v>11218</v>
      </c>
      <c r="B1494" t="s">
        <v>124</v>
      </c>
      <c r="C1494">
        <v>11.18548523206751</v>
      </c>
      <c r="D1494" t="s">
        <v>134</v>
      </c>
    </row>
    <row r="1495" spans="1:4" x14ac:dyDescent="0.25">
      <c r="A1495">
        <v>11217</v>
      </c>
      <c r="B1495" t="s">
        <v>124</v>
      </c>
      <c r="C1495">
        <v>5.7095172559813676</v>
      </c>
      <c r="D1495" t="s">
        <v>134</v>
      </c>
    </row>
    <row r="1496" spans="1:4" x14ac:dyDescent="0.25">
      <c r="A1496">
        <v>11216</v>
      </c>
      <c r="B1496" t="s">
        <v>124</v>
      </c>
      <c r="C1496">
        <v>8.890291666666668</v>
      </c>
      <c r="D1496" t="s">
        <v>134</v>
      </c>
    </row>
    <row r="1497" spans="1:4" x14ac:dyDescent="0.25">
      <c r="A1497">
        <v>11215</v>
      </c>
      <c r="B1497" t="s">
        <v>124</v>
      </c>
      <c r="C1497">
        <v>7.0870999999999995</v>
      </c>
      <c r="D1497" t="s">
        <v>134</v>
      </c>
    </row>
    <row r="1498" spans="1:4" x14ac:dyDescent="0.25">
      <c r="A1498">
        <v>11214</v>
      </c>
      <c r="B1498" t="s">
        <v>124</v>
      </c>
      <c r="C1498">
        <v>18.846</v>
      </c>
      <c r="D1498" t="s">
        <v>134</v>
      </c>
    </row>
    <row r="1499" spans="1:4" x14ac:dyDescent="0.25">
      <c r="A1499">
        <v>11210</v>
      </c>
      <c r="B1499" t="s">
        <v>28</v>
      </c>
      <c r="C1499">
        <v>5.0847000000000007</v>
      </c>
      <c r="D1499" t="s">
        <v>134</v>
      </c>
    </row>
    <row r="1500" spans="1:4" x14ac:dyDescent="0.25">
      <c r="A1500">
        <v>11209</v>
      </c>
      <c r="B1500" t="s">
        <v>28</v>
      </c>
      <c r="C1500">
        <v>2.7542499999999999</v>
      </c>
      <c r="D1500" t="s">
        <v>134</v>
      </c>
    </row>
    <row r="1501" spans="1:4" x14ac:dyDescent="0.25">
      <c r="A1501">
        <v>11208</v>
      </c>
      <c r="B1501" t="s">
        <v>125</v>
      </c>
      <c r="C1501">
        <v>0.68</v>
      </c>
      <c r="D1501" t="s">
        <v>134</v>
      </c>
    </row>
    <row r="1502" spans="1:4" x14ac:dyDescent="0.25">
      <c r="A1502">
        <v>11207</v>
      </c>
      <c r="B1502" t="s">
        <v>28</v>
      </c>
      <c r="C1502">
        <v>39.9</v>
      </c>
      <c r="D1502" t="s">
        <v>134</v>
      </c>
    </row>
    <row r="1503" spans="1:4" x14ac:dyDescent="0.25">
      <c r="A1503">
        <v>11206</v>
      </c>
      <c r="B1503" t="s">
        <v>28</v>
      </c>
      <c r="C1503">
        <v>1.1015999999999999</v>
      </c>
      <c r="D1503" t="s">
        <v>134</v>
      </c>
    </row>
    <row r="1504" spans="1:4" x14ac:dyDescent="0.25">
      <c r="A1504">
        <v>11205</v>
      </c>
      <c r="B1504" t="s">
        <v>28</v>
      </c>
      <c r="C1504">
        <v>6.3566666666666665</v>
      </c>
      <c r="D1504" t="s">
        <v>134</v>
      </c>
    </row>
    <row r="1505" spans="1:4" x14ac:dyDescent="0.25">
      <c r="A1505">
        <v>11204</v>
      </c>
      <c r="B1505" t="s">
        <v>125</v>
      </c>
      <c r="C1505">
        <v>3</v>
      </c>
      <c r="D1505" t="s">
        <v>134</v>
      </c>
    </row>
    <row r="1506" spans="1:4" x14ac:dyDescent="0.25">
      <c r="A1506">
        <v>11174</v>
      </c>
      <c r="B1506" t="s">
        <v>124</v>
      </c>
      <c r="C1506">
        <v>8.4700000000000006</v>
      </c>
      <c r="D1506" t="s">
        <v>134</v>
      </c>
    </row>
    <row r="1507" spans="1:4" x14ac:dyDescent="0.25">
      <c r="A1507">
        <v>11170</v>
      </c>
      <c r="B1507" t="s">
        <v>124</v>
      </c>
      <c r="C1507">
        <v>7.5884000000000007E-2</v>
      </c>
      <c r="D1507" t="s">
        <v>134</v>
      </c>
    </row>
    <row r="1508" spans="1:4" x14ac:dyDescent="0.25">
      <c r="A1508">
        <v>11162</v>
      </c>
      <c r="B1508" t="s">
        <v>124</v>
      </c>
      <c r="C1508">
        <v>22.139782608695651</v>
      </c>
      <c r="D1508" t="s">
        <v>134</v>
      </c>
    </row>
    <row r="1509" spans="1:4" x14ac:dyDescent="0.25">
      <c r="A1509">
        <v>11161</v>
      </c>
      <c r="B1509" t="s">
        <v>124</v>
      </c>
      <c r="C1509">
        <v>14.545</v>
      </c>
      <c r="D1509" t="s">
        <v>134</v>
      </c>
    </row>
    <row r="1510" spans="1:4" x14ac:dyDescent="0.25">
      <c r="A1510">
        <v>11160</v>
      </c>
      <c r="B1510" t="s">
        <v>124</v>
      </c>
      <c r="C1510">
        <v>14.546666666666667</v>
      </c>
      <c r="D1510" t="s">
        <v>134</v>
      </c>
    </row>
    <row r="1511" spans="1:4" x14ac:dyDescent="0.25">
      <c r="A1511">
        <v>11159</v>
      </c>
      <c r="B1511" t="s">
        <v>124</v>
      </c>
      <c r="C1511">
        <v>13.64</v>
      </c>
      <c r="D1511" t="s">
        <v>134</v>
      </c>
    </row>
    <row r="1512" spans="1:4" x14ac:dyDescent="0.25">
      <c r="A1512">
        <v>11158</v>
      </c>
      <c r="B1512" t="s">
        <v>124</v>
      </c>
      <c r="C1512">
        <v>14.546666666666667</v>
      </c>
      <c r="D1512" t="s">
        <v>134</v>
      </c>
    </row>
    <row r="1513" spans="1:4" x14ac:dyDescent="0.25">
      <c r="A1513">
        <v>11157</v>
      </c>
      <c r="B1513" t="s">
        <v>124</v>
      </c>
      <c r="C1513">
        <v>1.2710000000000001</v>
      </c>
      <c r="D1513" t="s">
        <v>134</v>
      </c>
    </row>
    <row r="1514" spans="1:4" x14ac:dyDescent="0.25">
      <c r="A1514">
        <v>11156</v>
      </c>
      <c r="B1514" t="s">
        <v>124</v>
      </c>
      <c r="C1514">
        <v>0.05</v>
      </c>
      <c r="D1514" t="s">
        <v>134</v>
      </c>
    </row>
    <row r="1515" spans="1:4" x14ac:dyDescent="0.25">
      <c r="A1515">
        <v>11154</v>
      </c>
      <c r="B1515" t="s">
        <v>124</v>
      </c>
      <c r="C1515">
        <v>0.79249999999999998</v>
      </c>
      <c r="D1515" t="s">
        <v>134</v>
      </c>
    </row>
    <row r="1516" spans="1:4" x14ac:dyDescent="0.25">
      <c r="A1516">
        <v>11152</v>
      </c>
      <c r="B1516" t="s">
        <v>124</v>
      </c>
      <c r="C1516">
        <v>0.4380633333333333</v>
      </c>
      <c r="D1516" t="s">
        <v>134</v>
      </c>
    </row>
    <row r="1517" spans="1:4" x14ac:dyDescent="0.25">
      <c r="A1517">
        <v>11151</v>
      </c>
      <c r="B1517" t="s">
        <v>124</v>
      </c>
      <c r="C1517">
        <v>0.19370799999999999</v>
      </c>
      <c r="D1517" t="s">
        <v>134</v>
      </c>
    </row>
    <row r="1518" spans="1:4" x14ac:dyDescent="0.25">
      <c r="A1518">
        <v>11150</v>
      </c>
      <c r="B1518" t="s">
        <v>124</v>
      </c>
      <c r="C1518">
        <v>0.17380500000000002</v>
      </c>
      <c r="D1518" t="s">
        <v>134</v>
      </c>
    </row>
    <row r="1519" spans="1:4" x14ac:dyDescent="0.25">
      <c r="A1519">
        <v>11149</v>
      </c>
      <c r="B1519" t="s">
        <v>124</v>
      </c>
      <c r="C1519">
        <v>0.68564499999999995</v>
      </c>
      <c r="D1519" t="s">
        <v>134</v>
      </c>
    </row>
    <row r="1520" spans="1:4" x14ac:dyDescent="0.25">
      <c r="A1520">
        <v>1113</v>
      </c>
      <c r="B1520" t="s">
        <v>28</v>
      </c>
      <c r="C1520">
        <v>0.4153</v>
      </c>
      <c r="D1520" t="s">
        <v>134</v>
      </c>
    </row>
    <row r="1521" spans="1:4" x14ac:dyDescent="0.25">
      <c r="A1521">
        <v>1112</v>
      </c>
      <c r="B1521" t="s">
        <v>28</v>
      </c>
      <c r="C1521">
        <v>0.31873333333333337</v>
      </c>
      <c r="D1521" t="s">
        <v>134</v>
      </c>
    </row>
    <row r="1522" spans="1:4" x14ac:dyDescent="0.25">
      <c r="A1522">
        <v>11079</v>
      </c>
      <c r="B1522" t="s">
        <v>124</v>
      </c>
      <c r="C1522">
        <v>0.73571803571428573</v>
      </c>
      <c r="D1522" t="s">
        <v>134</v>
      </c>
    </row>
    <row r="1523" spans="1:4" x14ac:dyDescent="0.25">
      <c r="A1523">
        <v>1103</v>
      </c>
      <c r="B1523" t="s">
        <v>28</v>
      </c>
      <c r="C1523">
        <v>2.2601880877742948</v>
      </c>
      <c r="D1523" t="s">
        <v>134</v>
      </c>
    </row>
    <row r="1524" spans="1:4" x14ac:dyDescent="0.25">
      <c r="A1524">
        <v>10</v>
      </c>
      <c r="B1524" t="s">
        <v>124</v>
      </c>
      <c r="C1524">
        <v>50.85</v>
      </c>
      <c r="D1524" t="s">
        <v>134</v>
      </c>
    </row>
    <row r="1525" spans="1:4" x14ac:dyDescent="0.25">
      <c r="A1525">
        <v>109</v>
      </c>
      <c r="B1525" t="s">
        <v>124</v>
      </c>
      <c r="C1525">
        <v>3.73</v>
      </c>
      <c r="D1525" t="s">
        <v>134</v>
      </c>
    </row>
    <row r="1526" spans="1:4" x14ac:dyDescent="0.25">
      <c r="A1526">
        <v>1098</v>
      </c>
      <c r="B1526" t="s">
        <v>28</v>
      </c>
      <c r="C1526">
        <v>0.1487</v>
      </c>
      <c r="D1526" t="s">
        <v>134</v>
      </c>
    </row>
    <row r="1527" spans="1:4" x14ac:dyDescent="0.25">
      <c r="A1527">
        <v>1097</v>
      </c>
      <c r="B1527" t="s">
        <v>28</v>
      </c>
      <c r="C1527">
        <v>0.1487</v>
      </c>
      <c r="D1527" t="s">
        <v>134</v>
      </c>
    </row>
    <row r="1528" spans="1:4" x14ac:dyDescent="0.25">
      <c r="A1528">
        <v>1096</v>
      </c>
      <c r="B1528" t="s">
        <v>28</v>
      </c>
      <c r="C1528">
        <v>0.1487</v>
      </c>
      <c r="D1528" t="s">
        <v>134</v>
      </c>
    </row>
    <row r="1529" spans="1:4" x14ac:dyDescent="0.25">
      <c r="A1529">
        <v>10933</v>
      </c>
      <c r="B1529" t="s">
        <v>125</v>
      </c>
      <c r="C1529">
        <v>45.34</v>
      </c>
      <c r="D1529" t="s">
        <v>134</v>
      </c>
    </row>
    <row r="1530" spans="1:4" x14ac:dyDescent="0.25">
      <c r="A1530">
        <v>10857</v>
      </c>
      <c r="B1530" t="s">
        <v>124</v>
      </c>
      <c r="C1530">
        <v>4.32</v>
      </c>
      <c r="D1530" t="s">
        <v>134</v>
      </c>
    </row>
    <row r="1531" spans="1:4" x14ac:dyDescent="0.25">
      <c r="A1531">
        <v>10856</v>
      </c>
      <c r="B1531" t="s">
        <v>124</v>
      </c>
      <c r="C1531">
        <v>41.148499999999999</v>
      </c>
      <c r="D1531" t="s">
        <v>134</v>
      </c>
    </row>
    <row r="1532" spans="1:4" x14ac:dyDescent="0.25">
      <c r="A1532">
        <v>10855</v>
      </c>
      <c r="B1532" t="s">
        <v>124</v>
      </c>
      <c r="C1532">
        <v>5.08</v>
      </c>
      <c r="D1532" t="s">
        <v>134</v>
      </c>
    </row>
    <row r="1533" spans="1:4" x14ac:dyDescent="0.25">
      <c r="A1533">
        <v>10854</v>
      </c>
      <c r="B1533" t="s">
        <v>124</v>
      </c>
      <c r="C1533">
        <v>4.32</v>
      </c>
      <c r="D1533" t="s">
        <v>134</v>
      </c>
    </row>
    <row r="1534" spans="1:4" x14ac:dyDescent="0.25">
      <c r="A1534">
        <v>10853</v>
      </c>
      <c r="B1534" t="s">
        <v>124</v>
      </c>
      <c r="C1534">
        <v>4.32</v>
      </c>
      <c r="D1534" t="s">
        <v>134</v>
      </c>
    </row>
    <row r="1535" spans="1:4" x14ac:dyDescent="0.25">
      <c r="A1535">
        <v>10852</v>
      </c>
      <c r="B1535" t="s">
        <v>124</v>
      </c>
      <c r="C1535">
        <v>7.2</v>
      </c>
      <c r="D1535" t="s">
        <v>134</v>
      </c>
    </row>
    <row r="1536" spans="1:4" x14ac:dyDescent="0.25">
      <c r="A1536">
        <v>10851</v>
      </c>
      <c r="B1536" t="s">
        <v>124</v>
      </c>
      <c r="C1536">
        <v>149.08046511627907</v>
      </c>
      <c r="D1536" t="s">
        <v>134</v>
      </c>
    </row>
    <row r="1537" spans="1:4" x14ac:dyDescent="0.25">
      <c r="A1537">
        <v>10850</v>
      </c>
      <c r="B1537" t="s">
        <v>124</v>
      </c>
      <c r="C1537">
        <v>156.53341853035144</v>
      </c>
      <c r="D1537" t="s">
        <v>134</v>
      </c>
    </row>
    <row r="1538" spans="1:4" x14ac:dyDescent="0.25">
      <c r="A1538">
        <v>10849</v>
      </c>
      <c r="B1538" t="s">
        <v>124</v>
      </c>
      <c r="C1538">
        <v>4.1944782608695652</v>
      </c>
      <c r="D1538" t="s">
        <v>134</v>
      </c>
    </row>
    <row r="1539" spans="1:4" x14ac:dyDescent="0.25">
      <c r="A1539">
        <v>10848</v>
      </c>
      <c r="B1539" t="s">
        <v>124</v>
      </c>
      <c r="C1539">
        <v>44.598720538720535</v>
      </c>
      <c r="D1539" t="s">
        <v>134</v>
      </c>
    </row>
    <row r="1540" spans="1:4" x14ac:dyDescent="0.25">
      <c r="A1540">
        <v>1077</v>
      </c>
      <c r="B1540" t="s">
        <v>125</v>
      </c>
      <c r="C1540">
        <v>83.474999999999994</v>
      </c>
      <c r="D1540" t="s">
        <v>134</v>
      </c>
    </row>
    <row r="1541" spans="1:4" x14ac:dyDescent="0.25">
      <c r="A1541">
        <v>1067</v>
      </c>
      <c r="B1541" t="s">
        <v>125</v>
      </c>
      <c r="C1541">
        <v>162.71</v>
      </c>
      <c r="D1541" t="s">
        <v>134</v>
      </c>
    </row>
    <row r="1542" spans="1:4" x14ac:dyDescent="0.25">
      <c r="A1542">
        <v>1066</v>
      </c>
      <c r="B1542" t="s">
        <v>125</v>
      </c>
      <c r="C1542">
        <v>4.32</v>
      </c>
      <c r="D1542" t="s">
        <v>134</v>
      </c>
    </row>
    <row r="1543" spans="1:4" x14ac:dyDescent="0.25">
      <c r="A1543">
        <v>1063</v>
      </c>
      <c r="B1543" t="s">
        <v>125</v>
      </c>
      <c r="C1543">
        <v>4.33</v>
      </c>
      <c r="D1543" t="s">
        <v>134</v>
      </c>
    </row>
    <row r="1544" spans="1:4" x14ac:dyDescent="0.25">
      <c r="A1544">
        <v>10621</v>
      </c>
      <c r="B1544" t="s">
        <v>124</v>
      </c>
      <c r="C1544">
        <v>6</v>
      </c>
      <c r="D1544" t="s">
        <v>134</v>
      </c>
    </row>
    <row r="1545" spans="1:4" x14ac:dyDescent="0.25">
      <c r="A1545">
        <v>10586</v>
      </c>
      <c r="B1545" t="s">
        <v>124</v>
      </c>
      <c r="C1545">
        <v>15.25</v>
      </c>
      <c r="D1545" t="s">
        <v>134</v>
      </c>
    </row>
    <row r="1546" spans="1:4" x14ac:dyDescent="0.25">
      <c r="A1546">
        <v>10577</v>
      </c>
      <c r="B1546" t="s">
        <v>124</v>
      </c>
      <c r="C1546">
        <v>31.78</v>
      </c>
      <c r="D1546" t="s">
        <v>134</v>
      </c>
    </row>
    <row r="1547" spans="1:4" x14ac:dyDescent="0.25">
      <c r="A1547">
        <v>10564</v>
      </c>
      <c r="B1547" t="s">
        <v>124</v>
      </c>
      <c r="C1547">
        <v>11.230583999999999</v>
      </c>
      <c r="D1547" t="s">
        <v>134</v>
      </c>
    </row>
    <row r="1548" spans="1:4" x14ac:dyDescent="0.25">
      <c r="A1548">
        <v>10563</v>
      </c>
      <c r="B1548" t="s">
        <v>124</v>
      </c>
      <c r="C1548">
        <v>27.321674999999999</v>
      </c>
      <c r="D1548" t="s">
        <v>134</v>
      </c>
    </row>
    <row r="1549" spans="1:4" x14ac:dyDescent="0.25">
      <c r="A1549">
        <v>10544</v>
      </c>
      <c r="B1549" t="s">
        <v>124</v>
      </c>
      <c r="C1549">
        <v>10.677911208151382</v>
      </c>
      <c r="D1549" t="s">
        <v>134</v>
      </c>
    </row>
    <row r="1550" spans="1:4" x14ac:dyDescent="0.25">
      <c r="A1550">
        <v>10543</v>
      </c>
      <c r="B1550" t="s">
        <v>124</v>
      </c>
      <c r="C1550">
        <v>17.225200000000001</v>
      </c>
      <c r="D1550" t="s">
        <v>134</v>
      </c>
    </row>
    <row r="1551" spans="1:4" x14ac:dyDescent="0.25">
      <c r="A1551">
        <v>10542</v>
      </c>
      <c r="B1551" t="s">
        <v>124</v>
      </c>
      <c r="C1551">
        <v>1.1953653333333334</v>
      </c>
      <c r="D1551" t="s">
        <v>134</v>
      </c>
    </row>
    <row r="1552" spans="1:4" x14ac:dyDescent="0.25">
      <c r="A1552">
        <v>10540</v>
      </c>
      <c r="B1552" t="s">
        <v>126</v>
      </c>
      <c r="C1552">
        <v>1.6990000000000001</v>
      </c>
      <c r="D1552" t="s">
        <v>134</v>
      </c>
    </row>
    <row r="1553" spans="1:4" x14ac:dyDescent="0.25">
      <c r="A1553">
        <v>10539</v>
      </c>
      <c r="B1553" t="s">
        <v>126</v>
      </c>
      <c r="C1553">
        <v>1.6990000000000001</v>
      </c>
      <c r="D1553" t="s">
        <v>134</v>
      </c>
    </row>
    <row r="1554" spans="1:4" x14ac:dyDescent="0.25">
      <c r="A1554">
        <v>10504</v>
      </c>
      <c r="B1554" t="s">
        <v>124</v>
      </c>
      <c r="C1554">
        <v>23.742111111111111</v>
      </c>
      <c r="D1554" t="s">
        <v>134</v>
      </c>
    </row>
    <row r="1555" spans="1:4" x14ac:dyDescent="0.25">
      <c r="A1555">
        <v>10489</v>
      </c>
      <c r="B1555" t="s">
        <v>125</v>
      </c>
      <c r="C1555">
        <v>20.34</v>
      </c>
      <c r="D1555" t="s">
        <v>134</v>
      </c>
    </row>
    <row r="1556" spans="1:4" x14ac:dyDescent="0.25">
      <c r="A1556">
        <v>10488</v>
      </c>
      <c r="B1556" t="s">
        <v>125</v>
      </c>
      <c r="C1556">
        <v>31.610000000000003</v>
      </c>
      <c r="D1556" t="s">
        <v>134</v>
      </c>
    </row>
    <row r="1557" spans="1:4" x14ac:dyDescent="0.25">
      <c r="A1557">
        <v>10485</v>
      </c>
      <c r="B1557" t="s">
        <v>124</v>
      </c>
      <c r="C1557">
        <v>2.3733333333333335</v>
      </c>
      <c r="D1557" t="s">
        <v>134</v>
      </c>
    </row>
    <row r="1558" spans="1:4" x14ac:dyDescent="0.25">
      <c r="A1558">
        <v>10398</v>
      </c>
      <c r="B1558" t="s">
        <v>124</v>
      </c>
      <c r="C1558">
        <v>60.85</v>
      </c>
      <c r="D1558" t="s">
        <v>134</v>
      </c>
    </row>
    <row r="1559" spans="1:4" x14ac:dyDescent="0.25">
      <c r="A1559">
        <v>10395</v>
      </c>
      <c r="B1559" t="s">
        <v>124</v>
      </c>
      <c r="C1559">
        <v>0.93617204301075263</v>
      </c>
      <c r="D1559" t="s">
        <v>134</v>
      </c>
    </row>
    <row r="1560" spans="1:4" x14ac:dyDescent="0.25">
      <c r="A1560">
        <v>10394</v>
      </c>
      <c r="B1560" t="s">
        <v>124</v>
      </c>
      <c r="C1560">
        <v>1.4512</v>
      </c>
      <c r="D1560" t="s">
        <v>134</v>
      </c>
    </row>
    <row r="1561" spans="1:4" x14ac:dyDescent="0.25">
      <c r="A1561">
        <v>10387</v>
      </c>
      <c r="B1561" t="s">
        <v>124</v>
      </c>
      <c r="C1561">
        <v>122.58</v>
      </c>
      <c r="D1561" t="s">
        <v>134</v>
      </c>
    </row>
    <row r="1562" spans="1:4" x14ac:dyDescent="0.25">
      <c r="A1562">
        <v>10386</v>
      </c>
      <c r="B1562" t="s">
        <v>124</v>
      </c>
      <c r="C1562">
        <v>18.656099999999999</v>
      </c>
      <c r="D1562" t="s">
        <v>134</v>
      </c>
    </row>
    <row r="1563" spans="1:4" x14ac:dyDescent="0.25">
      <c r="A1563">
        <v>10385</v>
      </c>
      <c r="B1563" t="s">
        <v>124</v>
      </c>
      <c r="C1563">
        <v>15.63415</v>
      </c>
      <c r="D1563" t="s">
        <v>134</v>
      </c>
    </row>
    <row r="1564" spans="1:4" x14ac:dyDescent="0.25">
      <c r="A1564">
        <v>10384</v>
      </c>
      <c r="B1564" t="s">
        <v>124</v>
      </c>
      <c r="C1564">
        <v>27.6267</v>
      </c>
      <c r="D1564" t="s">
        <v>134</v>
      </c>
    </row>
    <row r="1565" spans="1:4" x14ac:dyDescent="0.25">
      <c r="A1565">
        <v>10373</v>
      </c>
      <c r="B1565" t="s">
        <v>124</v>
      </c>
      <c r="C1565">
        <v>13.611649999999999</v>
      </c>
      <c r="D1565" t="s">
        <v>134</v>
      </c>
    </row>
    <row r="1566" spans="1:4" x14ac:dyDescent="0.25">
      <c r="A1566">
        <v>10372</v>
      </c>
      <c r="B1566" t="s">
        <v>124</v>
      </c>
      <c r="C1566">
        <v>33.766690140845071</v>
      </c>
      <c r="D1566" t="s">
        <v>134</v>
      </c>
    </row>
    <row r="1567" spans="1:4" x14ac:dyDescent="0.25">
      <c r="A1567">
        <v>10358</v>
      </c>
      <c r="B1567" t="s">
        <v>124</v>
      </c>
      <c r="C1567">
        <v>5.0319999999999991</v>
      </c>
      <c r="D1567" t="s">
        <v>134</v>
      </c>
    </row>
    <row r="1568" spans="1:4" x14ac:dyDescent="0.25">
      <c r="A1568">
        <v>10357</v>
      </c>
      <c r="B1568" t="s">
        <v>124</v>
      </c>
      <c r="C1568">
        <v>6.4217812500000004</v>
      </c>
      <c r="D1568" t="s">
        <v>134</v>
      </c>
    </row>
    <row r="1569" spans="1:4" x14ac:dyDescent="0.25">
      <c r="A1569">
        <v>10356</v>
      </c>
      <c r="B1569" t="s">
        <v>124</v>
      </c>
      <c r="C1569">
        <v>11.773999999999999</v>
      </c>
      <c r="D1569" t="s">
        <v>134</v>
      </c>
    </row>
    <row r="1570" spans="1:4" x14ac:dyDescent="0.25">
      <c r="A1570">
        <v>10355</v>
      </c>
      <c r="B1570" t="s">
        <v>124</v>
      </c>
      <c r="C1570">
        <v>2.1577375000000001</v>
      </c>
      <c r="D1570" t="s">
        <v>134</v>
      </c>
    </row>
    <row r="1571" spans="1:4" x14ac:dyDescent="0.25">
      <c r="A1571">
        <v>10348</v>
      </c>
      <c r="B1571" t="s">
        <v>124</v>
      </c>
      <c r="C1571">
        <v>19.152606635071088</v>
      </c>
      <c r="D1571" t="s">
        <v>134</v>
      </c>
    </row>
    <row r="1572" spans="1:4" x14ac:dyDescent="0.25">
      <c r="A1572">
        <v>10347</v>
      </c>
      <c r="B1572" t="s">
        <v>124</v>
      </c>
      <c r="C1572">
        <v>28.493222222222226</v>
      </c>
      <c r="D1572" t="s">
        <v>134</v>
      </c>
    </row>
    <row r="1573" spans="1:4" x14ac:dyDescent="0.25">
      <c r="A1573">
        <v>10346</v>
      </c>
      <c r="B1573" t="s">
        <v>124</v>
      </c>
      <c r="C1573">
        <v>13.88</v>
      </c>
      <c r="D1573" t="s">
        <v>134</v>
      </c>
    </row>
    <row r="1574" spans="1:4" x14ac:dyDescent="0.25">
      <c r="A1574">
        <v>10345</v>
      </c>
      <c r="B1574" t="s">
        <v>124</v>
      </c>
      <c r="C1574">
        <v>12.226063829787234</v>
      </c>
      <c r="D1574" t="s">
        <v>134</v>
      </c>
    </row>
    <row r="1575" spans="1:4" x14ac:dyDescent="0.25">
      <c r="A1575">
        <v>10344</v>
      </c>
      <c r="B1575" t="s">
        <v>124</v>
      </c>
      <c r="C1575">
        <v>2</v>
      </c>
      <c r="D1575" t="s">
        <v>134</v>
      </c>
    </row>
    <row r="1576" spans="1:4" x14ac:dyDescent="0.25">
      <c r="A1576">
        <v>10343</v>
      </c>
      <c r="B1576" t="s">
        <v>124</v>
      </c>
      <c r="C1576">
        <v>0.45845454545454545</v>
      </c>
      <c r="D1576" t="s">
        <v>134</v>
      </c>
    </row>
    <row r="1577" spans="1:4" x14ac:dyDescent="0.25">
      <c r="A1577">
        <v>10342</v>
      </c>
      <c r="B1577" t="s">
        <v>124</v>
      </c>
      <c r="C1577">
        <v>5.1180039138943245</v>
      </c>
      <c r="D1577" t="s">
        <v>134</v>
      </c>
    </row>
    <row r="1578" spans="1:4" x14ac:dyDescent="0.25">
      <c r="A1578">
        <v>10341</v>
      </c>
      <c r="B1578" t="s">
        <v>124</v>
      </c>
      <c r="C1578">
        <v>9.0460851731210052</v>
      </c>
      <c r="D1578" t="s">
        <v>134</v>
      </c>
    </row>
    <row r="1579" spans="1:4" x14ac:dyDescent="0.25">
      <c r="A1579">
        <v>10340</v>
      </c>
      <c r="B1579" t="s">
        <v>125</v>
      </c>
      <c r="C1579">
        <v>0.6</v>
      </c>
      <c r="D1579" t="s">
        <v>134</v>
      </c>
    </row>
    <row r="1580" spans="1:4" x14ac:dyDescent="0.25">
      <c r="A1580">
        <v>10339</v>
      </c>
      <c r="B1580" t="s">
        <v>125</v>
      </c>
      <c r="C1580">
        <v>0.5</v>
      </c>
      <c r="D1580" t="s">
        <v>134</v>
      </c>
    </row>
    <row r="1581" spans="1:4" x14ac:dyDescent="0.25">
      <c r="A1581">
        <v>10338</v>
      </c>
      <c r="B1581" t="s">
        <v>124</v>
      </c>
      <c r="C1581">
        <v>29.967941176470589</v>
      </c>
      <c r="D1581" t="s">
        <v>134</v>
      </c>
    </row>
    <row r="1582" spans="1:4" x14ac:dyDescent="0.25">
      <c r="A1582">
        <v>10216</v>
      </c>
      <c r="B1582" t="s">
        <v>124</v>
      </c>
      <c r="C1582">
        <v>48.4604</v>
      </c>
      <c r="D1582" t="s">
        <v>134</v>
      </c>
    </row>
    <row r="1583" spans="1:4" x14ac:dyDescent="0.25">
      <c r="A1583">
        <v>10175</v>
      </c>
      <c r="B1583" t="s">
        <v>124</v>
      </c>
      <c r="C1583">
        <v>11.531258023106545</v>
      </c>
      <c r="D1583" t="s">
        <v>134</v>
      </c>
    </row>
    <row r="1584" spans="1:4" x14ac:dyDescent="0.25">
      <c r="A1584">
        <v>10166</v>
      </c>
      <c r="B1584" t="s">
        <v>124</v>
      </c>
      <c r="C1584">
        <v>10.532</v>
      </c>
      <c r="D1584" t="s">
        <v>134</v>
      </c>
    </row>
    <row r="1585" spans="1:4" x14ac:dyDescent="0.25">
      <c r="A1585">
        <v>10165</v>
      </c>
      <c r="B1585" t="s">
        <v>124</v>
      </c>
      <c r="C1585">
        <v>34.405470000000001</v>
      </c>
      <c r="D1585" t="s">
        <v>134</v>
      </c>
    </row>
    <row r="1586" spans="1:4" x14ac:dyDescent="0.25">
      <c r="A1586">
        <v>10159</v>
      </c>
      <c r="B1586" t="s">
        <v>124</v>
      </c>
      <c r="C1586">
        <v>5.0705585714285721</v>
      </c>
      <c r="D1586" t="s">
        <v>134</v>
      </c>
    </row>
    <row r="1587" spans="1:4" x14ac:dyDescent="0.25">
      <c r="A1587">
        <v>10158</v>
      </c>
      <c r="B1587" t="s">
        <v>124</v>
      </c>
      <c r="C1587">
        <v>4.4855</v>
      </c>
      <c r="D1587" t="s">
        <v>134</v>
      </c>
    </row>
    <row r="1588" spans="1:4" x14ac:dyDescent="0.25">
      <c r="A1588">
        <v>100</v>
      </c>
      <c r="B1588" t="s">
        <v>124</v>
      </c>
      <c r="C1588">
        <v>10.17</v>
      </c>
      <c r="D1588" t="s">
        <v>134</v>
      </c>
    </row>
    <row r="1589" spans="1:4" x14ac:dyDescent="0.25">
      <c r="A1589">
        <v>10069</v>
      </c>
      <c r="B1589" t="s">
        <v>124</v>
      </c>
      <c r="C1589">
        <v>2.4177</v>
      </c>
      <c r="D1589" t="s">
        <v>134</v>
      </c>
    </row>
    <row r="1590" spans="1:4" x14ac:dyDescent="0.25">
      <c r="A1590">
        <v>10068</v>
      </c>
      <c r="B1590" t="s">
        <v>124</v>
      </c>
      <c r="C1590">
        <v>3.7359099999999996</v>
      </c>
      <c r="D1590" t="s">
        <v>134</v>
      </c>
    </row>
    <row r="1591" spans="1:4" x14ac:dyDescent="0.25">
      <c r="A1591">
        <v>10067</v>
      </c>
      <c r="B1591" t="s">
        <v>124</v>
      </c>
      <c r="C1591">
        <v>3.0183062500000002</v>
      </c>
      <c r="D1591" t="s">
        <v>134</v>
      </c>
    </row>
    <row r="1592" spans="1:4" x14ac:dyDescent="0.25">
      <c r="A1592">
        <v>10063</v>
      </c>
      <c r="B1592" t="s">
        <v>28</v>
      </c>
      <c r="C1592">
        <v>16.95</v>
      </c>
      <c r="D1592" t="s">
        <v>134</v>
      </c>
    </row>
    <row r="1593" spans="1:4" x14ac:dyDescent="0.25">
      <c r="A1593">
        <v>10055</v>
      </c>
      <c r="B1593" t="s">
        <v>124</v>
      </c>
      <c r="C1593">
        <v>25.146666666666665</v>
      </c>
      <c r="D1593" t="s">
        <v>134</v>
      </c>
    </row>
    <row r="1594" spans="1:4" x14ac:dyDescent="0.25">
      <c r="A1594">
        <v>10054</v>
      </c>
      <c r="B1594" t="s">
        <v>124</v>
      </c>
      <c r="C1594">
        <v>25.857058823529407</v>
      </c>
      <c r="D1594" t="s">
        <v>134</v>
      </c>
    </row>
    <row r="1595" spans="1:4" x14ac:dyDescent="0.25">
      <c r="A1595">
        <v>10050</v>
      </c>
      <c r="B1595" t="s">
        <v>124</v>
      </c>
      <c r="C1595">
        <v>18.593548387096774</v>
      </c>
      <c r="D1595" t="s">
        <v>134</v>
      </c>
    </row>
    <row r="1596" spans="1:4" x14ac:dyDescent="0.25">
      <c r="A1596">
        <v>10049</v>
      </c>
      <c r="B1596" t="s">
        <v>124</v>
      </c>
      <c r="C1596">
        <v>17.68</v>
      </c>
      <c r="D1596" t="s">
        <v>134</v>
      </c>
    </row>
    <row r="1597" spans="1:4" x14ac:dyDescent="0.25">
      <c r="A1597">
        <v>10048</v>
      </c>
      <c r="B1597" t="s">
        <v>124</v>
      </c>
      <c r="C1597">
        <v>16.246336996336996</v>
      </c>
      <c r="D1597" t="s">
        <v>134</v>
      </c>
    </row>
    <row r="1598" spans="1:4" x14ac:dyDescent="0.25">
      <c r="A1598">
        <v>10047</v>
      </c>
      <c r="B1598" t="s">
        <v>124</v>
      </c>
      <c r="C1598">
        <v>11.238712871287129</v>
      </c>
      <c r="D1598" t="s">
        <v>134</v>
      </c>
    </row>
    <row r="1599" spans="1:4" x14ac:dyDescent="0.25">
      <c r="A1599">
        <v>10046</v>
      </c>
      <c r="B1599" t="s">
        <v>124</v>
      </c>
      <c r="C1599">
        <v>9.684333333333333</v>
      </c>
      <c r="D1599" t="s">
        <v>134</v>
      </c>
    </row>
    <row r="1600" spans="1:4" x14ac:dyDescent="0.25">
      <c r="A1600">
        <v>10045</v>
      </c>
      <c r="B1600" t="s">
        <v>124</v>
      </c>
      <c r="C1600">
        <v>13.80135135135135</v>
      </c>
      <c r="D1600" t="s">
        <v>134</v>
      </c>
    </row>
    <row r="1601" spans="1:4" x14ac:dyDescent="0.25">
      <c r="A1601">
        <v>10032</v>
      </c>
      <c r="B1601" t="s">
        <v>125</v>
      </c>
      <c r="C1601">
        <v>1.6950000000000001</v>
      </c>
      <c r="D1601" t="s">
        <v>134</v>
      </c>
    </row>
    <row r="1602" spans="1:4" x14ac:dyDescent="0.25">
      <c r="A1602">
        <v>10031</v>
      </c>
      <c r="B1602" t="s">
        <v>125</v>
      </c>
      <c r="C1602">
        <v>7.8</v>
      </c>
      <c r="D1602" t="s">
        <v>134</v>
      </c>
    </row>
    <row r="1603" spans="1:4" x14ac:dyDescent="0.25">
      <c r="A1603">
        <v>10030</v>
      </c>
      <c r="B1603" t="s">
        <v>124</v>
      </c>
      <c r="C1603">
        <v>22.542000000000002</v>
      </c>
      <c r="D1603" t="s">
        <v>134</v>
      </c>
    </row>
    <row r="1604" spans="1:4" x14ac:dyDescent="0.25">
      <c r="A1604">
        <v>10015</v>
      </c>
      <c r="B1604" t="s">
        <v>124</v>
      </c>
      <c r="C1604">
        <v>0.71621641791044777</v>
      </c>
      <c r="D1604" t="s">
        <v>134</v>
      </c>
    </row>
    <row r="1605" spans="1:4" x14ac:dyDescent="0.25">
      <c r="A1605">
        <v>10002</v>
      </c>
      <c r="B1605" t="s">
        <v>124</v>
      </c>
      <c r="C1605">
        <v>190.042</v>
      </c>
      <c r="D1605" t="s">
        <v>134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F344-A1CD-4329-806C-5FFC84300910}">
  <sheetPr codeName="Hoja2"/>
  <dimension ref="A1:F151"/>
  <sheetViews>
    <sheetView workbookViewId="0">
      <selection activeCell="B1" sqref="B1"/>
    </sheetView>
  </sheetViews>
  <sheetFormatPr baseColWidth="10" defaultRowHeight="15" x14ac:dyDescent="0.25"/>
  <cols>
    <col min="1" max="1" width="7.7109375" bestFit="1" customWidth="1"/>
    <col min="2" max="2" width="10.42578125" bestFit="1" customWidth="1"/>
    <col min="3" max="3" width="11.28515625" bestFit="1" customWidth="1"/>
    <col min="4" max="4" width="12.5703125" bestFit="1" customWidth="1"/>
    <col min="5" max="5" width="11.42578125" bestFit="1" customWidth="1"/>
    <col min="6" max="6" width="13.85546875" bestFit="1" customWidth="1"/>
    <col min="7" max="7" width="12.7109375" bestFit="1" customWidth="1"/>
  </cols>
  <sheetData>
    <row r="1" spans="1:6" x14ac:dyDescent="0.25">
      <c r="A1" t="s">
        <v>6</v>
      </c>
      <c r="B1" t="s">
        <v>13</v>
      </c>
      <c r="C1" t="s">
        <v>4</v>
      </c>
      <c r="D1" t="s">
        <v>8</v>
      </c>
      <c r="E1" t="s">
        <v>9</v>
      </c>
      <c r="F1" t="s">
        <v>0</v>
      </c>
    </row>
    <row r="2" spans="1:6" x14ac:dyDescent="0.25">
      <c r="A2">
        <v>6</v>
      </c>
      <c r="B2" t="s">
        <v>48</v>
      </c>
      <c r="C2">
        <v>202631</v>
      </c>
      <c r="D2">
        <v>0.24</v>
      </c>
      <c r="E2">
        <v>11.878399999999999</v>
      </c>
      <c r="F2" t="s">
        <v>134</v>
      </c>
    </row>
    <row r="3" spans="1:6" x14ac:dyDescent="0.25">
      <c r="A3">
        <v>346</v>
      </c>
      <c r="B3" t="s">
        <v>48</v>
      </c>
      <c r="C3">
        <v>202631</v>
      </c>
      <c r="D3">
        <v>0.44</v>
      </c>
      <c r="E3">
        <v>2.2614999999999998</v>
      </c>
      <c r="F3" t="s">
        <v>134</v>
      </c>
    </row>
    <row r="4" spans="1:6" x14ac:dyDescent="0.25">
      <c r="A4">
        <v>370</v>
      </c>
      <c r="B4" t="s">
        <v>48</v>
      </c>
      <c r="C4">
        <v>202631</v>
      </c>
      <c r="D4">
        <v>5.5</v>
      </c>
      <c r="E4">
        <v>4.95</v>
      </c>
      <c r="F4" t="s">
        <v>134</v>
      </c>
    </row>
    <row r="5" spans="1:6" x14ac:dyDescent="0.25">
      <c r="A5">
        <v>1132</v>
      </c>
      <c r="B5" t="s">
        <v>48</v>
      </c>
      <c r="C5">
        <v>202631</v>
      </c>
      <c r="D5">
        <v>1.56</v>
      </c>
      <c r="E5">
        <v>10.918800000000001</v>
      </c>
      <c r="F5" t="s">
        <v>134</v>
      </c>
    </row>
    <row r="6" spans="1:6" x14ac:dyDescent="0.25">
      <c r="A6">
        <v>5406</v>
      </c>
      <c r="B6" t="s">
        <v>48</v>
      </c>
      <c r="C6">
        <v>202631</v>
      </c>
      <c r="D6">
        <v>5.05</v>
      </c>
      <c r="E6">
        <v>47.975000000000001</v>
      </c>
      <c r="F6" t="s">
        <v>134</v>
      </c>
    </row>
    <row r="7" spans="1:6" x14ac:dyDescent="0.25">
      <c r="A7">
        <v>7687</v>
      </c>
      <c r="B7" t="s">
        <v>48</v>
      </c>
      <c r="C7">
        <v>202631</v>
      </c>
      <c r="D7">
        <v>2.4000000000000004</v>
      </c>
      <c r="E7">
        <v>28.377700000000001</v>
      </c>
      <c r="F7" t="s">
        <v>134</v>
      </c>
    </row>
    <row r="8" spans="1:6" x14ac:dyDescent="0.25">
      <c r="A8">
        <v>49</v>
      </c>
      <c r="B8" t="s">
        <v>48</v>
      </c>
      <c r="C8">
        <v>202631</v>
      </c>
      <c r="D8">
        <v>2</v>
      </c>
      <c r="E8">
        <v>7.46E-2</v>
      </c>
      <c r="F8" t="s">
        <v>134</v>
      </c>
    </row>
    <row r="9" spans="1:6" x14ac:dyDescent="0.25">
      <c r="A9">
        <v>96</v>
      </c>
      <c r="B9" t="s">
        <v>48</v>
      </c>
      <c r="C9">
        <v>202631</v>
      </c>
      <c r="D9">
        <v>1</v>
      </c>
      <c r="E9">
        <v>7.46E-2</v>
      </c>
      <c r="F9" t="s">
        <v>134</v>
      </c>
    </row>
    <row r="10" spans="1:6" x14ac:dyDescent="0.25">
      <c r="A10">
        <v>613</v>
      </c>
      <c r="B10" t="s">
        <v>48</v>
      </c>
      <c r="C10">
        <v>202631</v>
      </c>
      <c r="D10">
        <v>0.01</v>
      </c>
      <c r="E10">
        <v>2.5399999999999999E-2</v>
      </c>
      <c r="F10" t="s">
        <v>134</v>
      </c>
    </row>
    <row r="11" spans="1:6" x14ac:dyDescent="0.25">
      <c r="A11">
        <v>1097</v>
      </c>
      <c r="B11" t="s">
        <v>48</v>
      </c>
      <c r="C11">
        <v>202631</v>
      </c>
      <c r="D11">
        <v>3</v>
      </c>
      <c r="E11">
        <v>0.40439999999999998</v>
      </c>
      <c r="F11" t="s">
        <v>134</v>
      </c>
    </row>
    <row r="12" spans="1:6" x14ac:dyDescent="0.25">
      <c r="A12">
        <v>3616</v>
      </c>
      <c r="B12" t="s">
        <v>48</v>
      </c>
      <c r="C12">
        <v>202631</v>
      </c>
      <c r="D12">
        <v>1</v>
      </c>
      <c r="E12">
        <v>8.7099999999999997E-2</v>
      </c>
      <c r="F12" t="s">
        <v>134</v>
      </c>
    </row>
    <row r="13" spans="1:6" x14ac:dyDescent="0.25">
      <c r="A13">
        <v>8084</v>
      </c>
      <c r="B13" t="s">
        <v>48</v>
      </c>
      <c r="C13">
        <v>202631</v>
      </c>
      <c r="D13">
        <v>3.4000000000000004</v>
      </c>
      <c r="E13">
        <v>39.101300000000002</v>
      </c>
      <c r="F13" t="s">
        <v>134</v>
      </c>
    </row>
    <row r="14" spans="1:6" x14ac:dyDescent="0.25">
      <c r="A14">
        <v>8131</v>
      </c>
      <c r="B14" t="s">
        <v>48</v>
      </c>
      <c r="C14">
        <v>202631</v>
      </c>
      <c r="D14">
        <v>0.95399999999999996</v>
      </c>
      <c r="E14">
        <v>15.0374</v>
      </c>
      <c r="F14" t="s">
        <v>134</v>
      </c>
    </row>
    <row r="15" spans="1:6" x14ac:dyDescent="0.25">
      <c r="A15">
        <v>8155</v>
      </c>
      <c r="B15" t="s">
        <v>48</v>
      </c>
      <c r="C15">
        <v>202631</v>
      </c>
      <c r="D15">
        <v>1.2000000000000002</v>
      </c>
      <c r="E15">
        <v>5.6400000000000006</v>
      </c>
      <c r="F15" t="s">
        <v>134</v>
      </c>
    </row>
    <row r="16" spans="1:6" x14ac:dyDescent="0.25">
      <c r="A16">
        <v>8213</v>
      </c>
      <c r="B16" t="s">
        <v>48</v>
      </c>
      <c r="C16">
        <v>202631</v>
      </c>
      <c r="D16">
        <v>80</v>
      </c>
      <c r="E16">
        <v>10.841200000000001</v>
      </c>
      <c r="F16" t="s">
        <v>134</v>
      </c>
    </row>
    <row r="17" spans="1:6" x14ac:dyDescent="0.25">
      <c r="A17">
        <v>8214</v>
      </c>
      <c r="B17" t="s">
        <v>48</v>
      </c>
      <c r="C17">
        <v>202631</v>
      </c>
      <c r="D17">
        <v>108</v>
      </c>
      <c r="E17">
        <v>19.214300000000001</v>
      </c>
      <c r="F17" t="s">
        <v>134</v>
      </c>
    </row>
    <row r="18" spans="1:6" x14ac:dyDescent="0.25">
      <c r="A18">
        <v>8467</v>
      </c>
      <c r="B18" t="s">
        <v>48</v>
      </c>
      <c r="C18">
        <v>202631</v>
      </c>
      <c r="D18">
        <v>7</v>
      </c>
      <c r="E18">
        <v>6.5852000000000004</v>
      </c>
      <c r="F18" t="s">
        <v>134</v>
      </c>
    </row>
    <row r="19" spans="1:6" x14ac:dyDescent="0.25">
      <c r="A19">
        <v>8478</v>
      </c>
      <c r="B19" t="s">
        <v>48</v>
      </c>
      <c r="C19">
        <v>202631</v>
      </c>
      <c r="D19">
        <v>0.2</v>
      </c>
      <c r="E19">
        <v>1.6819</v>
      </c>
      <c r="F19" t="s">
        <v>134</v>
      </c>
    </row>
    <row r="20" spans="1:6" x14ac:dyDescent="0.25">
      <c r="A20">
        <v>8502</v>
      </c>
      <c r="B20" t="s">
        <v>48</v>
      </c>
      <c r="C20">
        <v>202631</v>
      </c>
      <c r="D20">
        <v>14</v>
      </c>
      <c r="E20">
        <v>41.983199999999997</v>
      </c>
      <c r="F20" t="s">
        <v>134</v>
      </c>
    </row>
    <row r="21" spans="1:6" x14ac:dyDescent="0.25">
      <c r="A21">
        <v>8503</v>
      </c>
      <c r="B21" t="s">
        <v>48</v>
      </c>
      <c r="C21">
        <v>202631</v>
      </c>
      <c r="D21">
        <v>8</v>
      </c>
      <c r="E21">
        <v>21.471800000000002</v>
      </c>
      <c r="F21" t="s">
        <v>134</v>
      </c>
    </row>
    <row r="22" spans="1:6" x14ac:dyDescent="0.25">
      <c r="A22">
        <v>8513</v>
      </c>
      <c r="B22" t="s">
        <v>48</v>
      </c>
      <c r="C22">
        <v>202631</v>
      </c>
      <c r="D22">
        <v>41</v>
      </c>
      <c r="E22">
        <v>52.1419</v>
      </c>
      <c r="F22" t="s">
        <v>134</v>
      </c>
    </row>
    <row r="23" spans="1:6" x14ac:dyDescent="0.25">
      <c r="A23">
        <v>8519</v>
      </c>
      <c r="B23" t="s">
        <v>48</v>
      </c>
      <c r="C23">
        <v>202631</v>
      </c>
      <c r="D23">
        <v>28</v>
      </c>
      <c r="E23">
        <v>39.457999999999998</v>
      </c>
      <c r="F23" t="s">
        <v>134</v>
      </c>
    </row>
    <row r="24" spans="1:6" x14ac:dyDescent="0.25">
      <c r="A24">
        <v>8654</v>
      </c>
      <c r="B24" t="s">
        <v>48</v>
      </c>
      <c r="C24">
        <v>202631</v>
      </c>
      <c r="D24">
        <v>1.1299999999999999</v>
      </c>
      <c r="E24">
        <v>93.426099999999991</v>
      </c>
      <c r="F24" t="s">
        <v>134</v>
      </c>
    </row>
    <row r="25" spans="1:6" x14ac:dyDescent="0.25">
      <c r="A25">
        <v>8670</v>
      </c>
      <c r="B25" t="s">
        <v>48</v>
      </c>
      <c r="C25">
        <v>202631</v>
      </c>
      <c r="D25">
        <v>3</v>
      </c>
      <c r="E25">
        <v>0.4108</v>
      </c>
      <c r="F25" t="s">
        <v>134</v>
      </c>
    </row>
    <row r="26" spans="1:6" x14ac:dyDescent="0.25">
      <c r="A26">
        <v>8671</v>
      </c>
      <c r="B26" t="s">
        <v>48</v>
      </c>
      <c r="C26">
        <v>202631</v>
      </c>
      <c r="D26">
        <v>41</v>
      </c>
      <c r="E26">
        <v>12.638299999999999</v>
      </c>
      <c r="F26" t="s">
        <v>134</v>
      </c>
    </row>
    <row r="27" spans="1:6" x14ac:dyDescent="0.25">
      <c r="A27">
        <v>8672</v>
      </c>
      <c r="B27" t="s">
        <v>48</v>
      </c>
      <c r="C27">
        <v>202631</v>
      </c>
      <c r="D27">
        <v>108</v>
      </c>
      <c r="E27">
        <v>18.053100000000001</v>
      </c>
      <c r="F27" t="s">
        <v>134</v>
      </c>
    </row>
    <row r="28" spans="1:6" x14ac:dyDescent="0.25">
      <c r="A28">
        <v>8673</v>
      </c>
      <c r="B28" t="s">
        <v>48</v>
      </c>
      <c r="C28">
        <v>202631</v>
      </c>
      <c r="D28">
        <v>3</v>
      </c>
      <c r="E28">
        <v>0.3906</v>
      </c>
      <c r="F28" t="s">
        <v>134</v>
      </c>
    </row>
    <row r="29" spans="1:6" x14ac:dyDescent="0.25">
      <c r="A29">
        <v>8845</v>
      </c>
      <c r="B29" t="s">
        <v>48</v>
      </c>
      <c r="C29">
        <v>202631</v>
      </c>
      <c r="D29">
        <v>2</v>
      </c>
      <c r="E29">
        <v>0.4</v>
      </c>
      <c r="F29" t="s">
        <v>134</v>
      </c>
    </row>
    <row r="30" spans="1:6" x14ac:dyDescent="0.25">
      <c r="A30">
        <v>9216</v>
      </c>
      <c r="B30" t="s">
        <v>48</v>
      </c>
      <c r="C30">
        <v>202631</v>
      </c>
      <c r="D30">
        <v>42</v>
      </c>
      <c r="E30">
        <v>100.75630000000001</v>
      </c>
      <c r="F30" t="s">
        <v>134</v>
      </c>
    </row>
    <row r="31" spans="1:6" x14ac:dyDescent="0.25">
      <c r="A31">
        <v>9924</v>
      </c>
      <c r="B31" t="s">
        <v>48</v>
      </c>
      <c r="C31">
        <v>202631</v>
      </c>
      <c r="D31">
        <v>6</v>
      </c>
      <c r="E31">
        <v>10.4658</v>
      </c>
      <c r="F31" t="s">
        <v>134</v>
      </c>
    </row>
    <row r="32" spans="1:6" x14ac:dyDescent="0.25">
      <c r="A32">
        <v>10564</v>
      </c>
      <c r="B32" t="s">
        <v>48</v>
      </c>
      <c r="C32">
        <v>202631</v>
      </c>
      <c r="D32">
        <v>3.1960000000000002</v>
      </c>
      <c r="E32">
        <v>120.8579</v>
      </c>
      <c r="F32" t="s">
        <v>134</v>
      </c>
    </row>
    <row r="33" spans="1:6" x14ac:dyDescent="0.25">
      <c r="A33">
        <v>11471</v>
      </c>
      <c r="B33" t="s">
        <v>48</v>
      </c>
      <c r="C33">
        <v>202631</v>
      </c>
      <c r="D33">
        <v>4.3483999999999998</v>
      </c>
      <c r="E33">
        <v>108.50559999999999</v>
      </c>
      <c r="F33" t="s">
        <v>134</v>
      </c>
    </row>
    <row r="34" spans="1:6" x14ac:dyDescent="0.25">
      <c r="A34">
        <v>11785</v>
      </c>
      <c r="B34" t="s">
        <v>48</v>
      </c>
      <c r="C34">
        <v>202631</v>
      </c>
      <c r="D34">
        <v>1</v>
      </c>
      <c r="E34">
        <v>0.68869999999999998</v>
      </c>
      <c r="F34" t="s">
        <v>134</v>
      </c>
    </row>
    <row r="35" spans="1:6" x14ac:dyDescent="0.25">
      <c r="A35">
        <v>11851</v>
      </c>
      <c r="B35" t="s">
        <v>48</v>
      </c>
      <c r="C35">
        <v>202631</v>
      </c>
      <c r="D35">
        <v>178</v>
      </c>
      <c r="E35">
        <v>17.4495</v>
      </c>
      <c r="F35" t="s">
        <v>134</v>
      </c>
    </row>
    <row r="36" spans="1:6" x14ac:dyDescent="0.25">
      <c r="A36">
        <v>12128</v>
      </c>
      <c r="B36" t="s">
        <v>48</v>
      </c>
      <c r="C36">
        <v>202631</v>
      </c>
      <c r="D36">
        <v>41</v>
      </c>
      <c r="E36">
        <v>11.988299999999999</v>
      </c>
      <c r="F36" t="s">
        <v>134</v>
      </c>
    </row>
    <row r="37" spans="1:6" x14ac:dyDescent="0.25">
      <c r="A37">
        <v>12682</v>
      </c>
      <c r="B37" t="s">
        <v>48</v>
      </c>
      <c r="C37">
        <v>202631</v>
      </c>
      <c r="D37">
        <v>14.373000000000001</v>
      </c>
      <c r="E37">
        <v>56.6143</v>
      </c>
      <c r="F37" t="s">
        <v>134</v>
      </c>
    </row>
    <row r="38" spans="1:6" x14ac:dyDescent="0.25">
      <c r="A38">
        <v>12683</v>
      </c>
      <c r="B38" t="s">
        <v>48</v>
      </c>
      <c r="C38">
        <v>202631</v>
      </c>
      <c r="D38">
        <v>14.7446</v>
      </c>
      <c r="E38">
        <v>54.633499999999998</v>
      </c>
      <c r="F38" t="s">
        <v>134</v>
      </c>
    </row>
    <row r="39" spans="1:6" x14ac:dyDescent="0.25">
      <c r="A39">
        <v>12684</v>
      </c>
      <c r="B39" t="s">
        <v>48</v>
      </c>
      <c r="C39">
        <v>202631</v>
      </c>
      <c r="D39">
        <v>1.9981</v>
      </c>
      <c r="E39">
        <v>8.0090000000000003</v>
      </c>
      <c r="F39" t="s">
        <v>134</v>
      </c>
    </row>
    <row r="40" spans="1:6" x14ac:dyDescent="0.25">
      <c r="A40">
        <v>13005</v>
      </c>
      <c r="B40" t="s">
        <v>48</v>
      </c>
      <c r="C40">
        <v>202631</v>
      </c>
      <c r="D40">
        <v>18</v>
      </c>
      <c r="E40">
        <v>60.015799999999999</v>
      </c>
      <c r="F40" t="s">
        <v>134</v>
      </c>
    </row>
    <row r="41" spans="1:6" x14ac:dyDescent="0.25">
      <c r="A41">
        <v>13422</v>
      </c>
      <c r="B41" t="s">
        <v>48</v>
      </c>
      <c r="C41">
        <v>202631</v>
      </c>
      <c r="D41">
        <v>108</v>
      </c>
      <c r="E41">
        <v>33.771599999999999</v>
      </c>
      <c r="F41" t="s">
        <v>134</v>
      </c>
    </row>
    <row r="42" spans="1:6" x14ac:dyDescent="0.25">
      <c r="A42">
        <v>13423</v>
      </c>
      <c r="B42" t="s">
        <v>48</v>
      </c>
      <c r="C42">
        <v>202631</v>
      </c>
      <c r="D42">
        <v>42</v>
      </c>
      <c r="E42">
        <v>7.4339999999999993</v>
      </c>
      <c r="F42" t="s">
        <v>134</v>
      </c>
    </row>
    <row r="43" spans="1:6" x14ac:dyDescent="0.25">
      <c r="A43">
        <v>13432</v>
      </c>
      <c r="B43" t="s">
        <v>48</v>
      </c>
      <c r="C43">
        <v>202631</v>
      </c>
      <c r="D43">
        <v>70</v>
      </c>
      <c r="E43">
        <v>258.66289999999998</v>
      </c>
      <c r="F43" t="s">
        <v>134</v>
      </c>
    </row>
    <row r="44" spans="1:6" x14ac:dyDescent="0.25">
      <c r="A44">
        <v>13455</v>
      </c>
      <c r="B44" t="s">
        <v>48</v>
      </c>
      <c r="C44">
        <v>202631</v>
      </c>
      <c r="D44">
        <v>13</v>
      </c>
      <c r="E44">
        <v>46.704000000000001</v>
      </c>
      <c r="F44" t="s">
        <v>134</v>
      </c>
    </row>
    <row r="45" spans="1:6" x14ac:dyDescent="0.25">
      <c r="A45">
        <v>877</v>
      </c>
      <c r="B45" t="s">
        <v>48</v>
      </c>
      <c r="C45">
        <v>202631</v>
      </c>
      <c r="D45">
        <v>0.29199999999999998</v>
      </c>
      <c r="E45">
        <v>0.3095</v>
      </c>
      <c r="F45" t="s">
        <v>134</v>
      </c>
    </row>
    <row r="46" spans="1:6" x14ac:dyDescent="0.25">
      <c r="A46">
        <v>3605</v>
      </c>
      <c r="B46" t="s">
        <v>48</v>
      </c>
      <c r="C46">
        <v>202631</v>
      </c>
      <c r="D46">
        <v>4.0000000000000001E-3</v>
      </c>
      <c r="E46">
        <v>0.1512</v>
      </c>
      <c r="F46" t="s">
        <v>134</v>
      </c>
    </row>
    <row r="47" spans="1:6" x14ac:dyDescent="0.25">
      <c r="A47">
        <v>8075</v>
      </c>
      <c r="B47" t="s">
        <v>48</v>
      </c>
      <c r="C47">
        <v>202631</v>
      </c>
      <c r="D47">
        <v>1.9039999999999999</v>
      </c>
      <c r="E47">
        <v>23.395700000000001</v>
      </c>
      <c r="F47" t="s">
        <v>134</v>
      </c>
    </row>
    <row r="48" spans="1:6" x14ac:dyDescent="0.25">
      <c r="A48">
        <v>8118</v>
      </c>
      <c r="B48" t="s">
        <v>48</v>
      </c>
      <c r="C48">
        <v>202631</v>
      </c>
      <c r="D48">
        <v>2.589</v>
      </c>
      <c r="E48">
        <v>21.023800000000001</v>
      </c>
      <c r="F48" t="s">
        <v>134</v>
      </c>
    </row>
    <row r="49" spans="1:6" x14ac:dyDescent="0.25">
      <c r="A49">
        <v>8156</v>
      </c>
      <c r="B49" t="s">
        <v>48</v>
      </c>
      <c r="C49">
        <v>202631</v>
      </c>
      <c r="D49">
        <v>0.98</v>
      </c>
      <c r="E49">
        <v>6.9596999999999998</v>
      </c>
      <c r="F49" t="s">
        <v>134</v>
      </c>
    </row>
    <row r="50" spans="1:6" x14ac:dyDescent="0.25">
      <c r="A50">
        <v>8261</v>
      </c>
      <c r="B50" t="s">
        <v>48</v>
      </c>
      <c r="C50">
        <v>202631</v>
      </c>
      <c r="D50">
        <v>0.23799999999999999</v>
      </c>
      <c r="E50">
        <v>13.386299999999999</v>
      </c>
      <c r="F50" t="s">
        <v>134</v>
      </c>
    </row>
    <row r="51" spans="1:6" x14ac:dyDescent="0.25">
      <c r="A51">
        <v>8470</v>
      </c>
      <c r="B51" t="s">
        <v>48</v>
      </c>
      <c r="C51">
        <v>202631</v>
      </c>
      <c r="D51">
        <v>46</v>
      </c>
      <c r="E51">
        <v>21.365100000000002</v>
      </c>
      <c r="F51" t="s">
        <v>134</v>
      </c>
    </row>
    <row r="52" spans="1:6" x14ac:dyDescent="0.25">
      <c r="A52">
        <v>10563</v>
      </c>
      <c r="B52" t="s">
        <v>48</v>
      </c>
      <c r="C52">
        <v>202631</v>
      </c>
      <c r="D52">
        <v>3.4000000000000002E-2</v>
      </c>
      <c r="E52">
        <v>1.379</v>
      </c>
      <c r="F52" t="s">
        <v>134</v>
      </c>
    </row>
    <row r="53" spans="1:6" x14ac:dyDescent="0.25">
      <c r="A53">
        <v>11535</v>
      </c>
      <c r="B53" t="s">
        <v>48</v>
      </c>
      <c r="C53">
        <v>202631</v>
      </c>
      <c r="D53">
        <v>0.18</v>
      </c>
      <c r="E53">
        <v>4.9184000000000001</v>
      </c>
      <c r="F53" t="s">
        <v>134</v>
      </c>
    </row>
    <row r="54" spans="1:6" x14ac:dyDescent="0.25">
      <c r="A54">
        <v>13164</v>
      </c>
      <c r="B54" t="s">
        <v>48</v>
      </c>
      <c r="C54">
        <v>202631</v>
      </c>
      <c r="D54">
        <v>3.4000000000000002E-2</v>
      </c>
      <c r="E54">
        <v>1.6615</v>
      </c>
      <c r="F54" t="s">
        <v>134</v>
      </c>
    </row>
    <row r="55" spans="1:6" x14ac:dyDescent="0.25">
      <c r="A55">
        <v>13454</v>
      </c>
      <c r="B55" t="s">
        <v>48</v>
      </c>
      <c r="C55">
        <v>202631</v>
      </c>
      <c r="D55">
        <v>10</v>
      </c>
      <c r="E55">
        <v>5.0647000000000002</v>
      </c>
      <c r="F55" t="s">
        <v>134</v>
      </c>
    </row>
    <row r="56" spans="1:6" x14ac:dyDescent="0.25">
      <c r="A56">
        <v>8336</v>
      </c>
      <c r="B56" t="s">
        <v>48</v>
      </c>
      <c r="C56">
        <v>202631</v>
      </c>
      <c r="D56">
        <v>3</v>
      </c>
      <c r="E56">
        <v>8.2911999999999999</v>
      </c>
      <c r="F56" t="s">
        <v>134</v>
      </c>
    </row>
    <row r="57" spans="1:6" x14ac:dyDescent="0.25">
      <c r="A57">
        <v>13453</v>
      </c>
      <c r="B57" t="s">
        <v>48</v>
      </c>
      <c r="C57">
        <v>202631</v>
      </c>
      <c r="D57">
        <v>15</v>
      </c>
      <c r="E57">
        <v>11.0221</v>
      </c>
      <c r="F57" t="s">
        <v>134</v>
      </c>
    </row>
    <row r="58" spans="1:6" x14ac:dyDescent="0.25">
      <c r="A58">
        <v>9933</v>
      </c>
      <c r="B58" t="s">
        <v>48</v>
      </c>
      <c r="C58">
        <v>202631</v>
      </c>
      <c r="D58">
        <v>11</v>
      </c>
      <c r="E58">
        <v>39.123000000000005</v>
      </c>
      <c r="F58" t="s">
        <v>134</v>
      </c>
    </row>
    <row r="59" spans="1:6" x14ac:dyDescent="0.25">
      <c r="A59">
        <v>11546</v>
      </c>
      <c r="B59" t="s">
        <v>48</v>
      </c>
      <c r="C59">
        <v>202631</v>
      </c>
      <c r="D59">
        <v>0.3</v>
      </c>
      <c r="E59">
        <v>0.55079999999999996</v>
      </c>
      <c r="F59" t="s">
        <v>134</v>
      </c>
    </row>
    <row r="60" spans="1:6" x14ac:dyDescent="0.25">
      <c r="A60">
        <v>13362</v>
      </c>
      <c r="B60" t="s">
        <v>48</v>
      </c>
      <c r="C60">
        <v>202631</v>
      </c>
      <c r="D60">
        <v>13</v>
      </c>
      <c r="E60">
        <v>58.002800000000008</v>
      </c>
      <c r="F60" t="s">
        <v>134</v>
      </c>
    </row>
    <row r="61" spans="1:6" x14ac:dyDescent="0.25">
      <c r="A61">
        <v>13370</v>
      </c>
      <c r="B61" t="s">
        <v>48</v>
      </c>
      <c r="C61">
        <v>202631</v>
      </c>
      <c r="D61">
        <v>2</v>
      </c>
      <c r="E61">
        <v>15.070600000000001</v>
      </c>
      <c r="F61" t="s">
        <v>134</v>
      </c>
    </row>
    <row r="62" spans="1:6" x14ac:dyDescent="0.25">
      <c r="A62">
        <v>13433</v>
      </c>
      <c r="B62" t="s">
        <v>48</v>
      </c>
      <c r="C62">
        <v>202631</v>
      </c>
      <c r="D62">
        <v>0.36</v>
      </c>
      <c r="E62">
        <v>5.0291999999999994</v>
      </c>
      <c r="F62" t="s">
        <v>134</v>
      </c>
    </row>
    <row r="63" spans="1:6" x14ac:dyDescent="0.25">
      <c r="A63">
        <v>13434</v>
      </c>
      <c r="B63" t="s">
        <v>48</v>
      </c>
      <c r="C63">
        <v>202631</v>
      </c>
      <c r="D63">
        <v>8</v>
      </c>
      <c r="E63">
        <v>181.19159999999999</v>
      </c>
      <c r="F63" t="s">
        <v>134</v>
      </c>
    </row>
    <row r="64" spans="1:6" x14ac:dyDescent="0.25">
      <c r="A64">
        <v>13546</v>
      </c>
      <c r="B64" t="s">
        <v>48</v>
      </c>
      <c r="C64">
        <v>202631</v>
      </c>
      <c r="D64">
        <v>5</v>
      </c>
      <c r="E64">
        <v>11.017799999999999</v>
      </c>
      <c r="F64" t="s">
        <v>134</v>
      </c>
    </row>
    <row r="65" spans="1:6" x14ac:dyDescent="0.25">
      <c r="A65">
        <v>13549</v>
      </c>
      <c r="B65" t="s">
        <v>48</v>
      </c>
      <c r="C65">
        <v>202631</v>
      </c>
      <c r="D65">
        <v>8</v>
      </c>
      <c r="E65">
        <v>17.9283</v>
      </c>
      <c r="F65" t="s">
        <v>134</v>
      </c>
    </row>
    <row r="66" spans="1:6" x14ac:dyDescent="0.25">
      <c r="A66">
        <v>13580</v>
      </c>
      <c r="B66" t="s">
        <v>48</v>
      </c>
      <c r="C66">
        <v>202631</v>
      </c>
      <c r="D66">
        <v>19</v>
      </c>
      <c r="E66">
        <v>65.6434</v>
      </c>
      <c r="F66" t="s">
        <v>134</v>
      </c>
    </row>
    <row r="67" spans="1:6" x14ac:dyDescent="0.25">
      <c r="A67">
        <v>13583</v>
      </c>
      <c r="B67" t="s">
        <v>48</v>
      </c>
      <c r="C67">
        <v>202631</v>
      </c>
      <c r="D67">
        <v>11</v>
      </c>
      <c r="E67">
        <v>33.065199999999997</v>
      </c>
      <c r="F67" t="s">
        <v>134</v>
      </c>
    </row>
    <row r="68" spans="1:6" x14ac:dyDescent="0.25">
      <c r="A68">
        <v>13585</v>
      </c>
      <c r="B68" t="s">
        <v>48</v>
      </c>
      <c r="C68">
        <v>202631</v>
      </c>
      <c r="D68">
        <v>43</v>
      </c>
      <c r="E68">
        <v>157.87970000000001</v>
      </c>
      <c r="F68" t="s">
        <v>134</v>
      </c>
    </row>
    <row r="69" spans="1:6" x14ac:dyDescent="0.25">
      <c r="A69">
        <v>11532</v>
      </c>
      <c r="B69" t="s">
        <v>48</v>
      </c>
      <c r="C69">
        <v>202631</v>
      </c>
      <c r="D69">
        <v>0.02</v>
      </c>
      <c r="E69">
        <v>2.2254</v>
      </c>
      <c r="F69" t="s">
        <v>134</v>
      </c>
    </row>
    <row r="70" spans="1:6" x14ac:dyDescent="0.25">
      <c r="A70">
        <v>11536</v>
      </c>
      <c r="B70" t="s">
        <v>48</v>
      </c>
      <c r="C70">
        <v>202631</v>
      </c>
      <c r="D70">
        <v>8.0000000000000002E-3</v>
      </c>
      <c r="E70">
        <v>2.5419999999999998</v>
      </c>
      <c r="F70" t="s">
        <v>134</v>
      </c>
    </row>
    <row r="71" spans="1:6" x14ac:dyDescent="0.25">
      <c r="A71">
        <v>13526</v>
      </c>
      <c r="B71" t="s">
        <v>48</v>
      </c>
      <c r="C71">
        <v>202631</v>
      </c>
      <c r="D71">
        <v>0.14000000000000001</v>
      </c>
      <c r="E71">
        <v>4.5163000000000002</v>
      </c>
      <c r="F71" t="s">
        <v>134</v>
      </c>
    </row>
    <row r="72" spans="1:6" x14ac:dyDescent="0.25">
      <c r="A72">
        <v>8337</v>
      </c>
      <c r="B72" t="s">
        <v>48</v>
      </c>
      <c r="C72">
        <v>202631</v>
      </c>
      <c r="D72">
        <v>0.26</v>
      </c>
      <c r="E72">
        <v>2.6328</v>
      </c>
      <c r="F72" t="s">
        <v>134</v>
      </c>
    </row>
    <row r="73" spans="1:6" x14ac:dyDescent="0.25">
      <c r="A73">
        <v>13599</v>
      </c>
      <c r="B73" t="s">
        <v>48</v>
      </c>
      <c r="C73">
        <v>202631</v>
      </c>
      <c r="D73">
        <v>3.5000000000000003E-2</v>
      </c>
      <c r="E73">
        <v>2.0777999999999999</v>
      </c>
      <c r="F73" t="s">
        <v>134</v>
      </c>
    </row>
    <row r="74" spans="1:6" x14ac:dyDescent="0.25">
      <c r="A74">
        <v>13488</v>
      </c>
      <c r="B74" t="s">
        <v>48</v>
      </c>
      <c r="C74">
        <v>202631</v>
      </c>
      <c r="D74">
        <v>0.20649999999999999</v>
      </c>
      <c r="E74">
        <v>0</v>
      </c>
      <c r="F74" t="s">
        <v>134</v>
      </c>
    </row>
    <row r="75" spans="1:6" x14ac:dyDescent="0.25">
      <c r="A75">
        <v>346</v>
      </c>
      <c r="B75" t="s">
        <v>47</v>
      </c>
      <c r="C75">
        <v>202631</v>
      </c>
      <c r="D75">
        <v>-0.60000000000000009</v>
      </c>
      <c r="E75">
        <v>-2.1985000000000001</v>
      </c>
      <c r="F75" t="s">
        <v>134</v>
      </c>
    </row>
    <row r="76" spans="1:6" x14ac:dyDescent="0.25">
      <c r="A76">
        <v>370</v>
      </c>
      <c r="B76" t="s">
        <v>47</v>
      </c>
      <c r="C76">
        <v>202631</v>
      </c>
      <c r="D76">
        <v>-7</v>
      </c>
      <c r="E76">
        <v>-4.95</v>
      </c>
      <c r="F76" t="s">
        <v>134</v>
      </c>
    </row>
    <row r="77" spans="1:6" x14ac:dyDescent="0.25">
      <c r="A77">
        <v>1132</v>
      </c>
      <c r="B77" t="s">
        <v>47</v>
      </c>
      <c r="C77">
        <v>202631</v>
      </c>
      <c r="D77">
        <v>-2.0300000000000002</v>
      </c>
      <c r="E77">
        <v>-10.918700000000001</v>
      </c>
      <c r="F77" t="s">
        <v>134</v>
      </c>
    </row>
    <row r="78" spans="1:6" x14ac:dyDescent="0.25">
      <c r="A78">
        <v>5406</v>
      </c>
      <c r="B78" t="s">
        <v>47</v>
      </c>
      <c r="C78">
        <v>202631</v>
      </c>
      <c r="D78">
        <v>-7.15</v>
      </c>
      <c r="E78">
        <v>-47.974999999999994</v>
      </c>
      <c r="F78" t="s">
        <v>134</v>
      </c>
    </row>
    <row r="79" spans="1:6" x14ac:dyDescent="0.25">
      <c r="A79">
        <v>7687</v>
      </c>
      <c r="B79" t="s">
        <v>47</v>
      </c>
      <c r="C79">
        <v>202631</v>
      </c>
      <c r="D79">
        <v>-3.12</v>
      </c>
      <c r="E79">
        <v>-28.388000000000002</v>
      </c>
      <c r="F79" t="s">
        <v>134</v>
      </c>
    </row>
    <row r="80" spans="1:6" x14ac:dyDescent="0.25">
      <c r="A80">
        <v>8084</v>
      </c>
      <c r="B80" t="s">
        <v>47</v>
      </c>
      <c r="C80">
        <v>202631</v>
      </c>
      <c r="D80">
        <v>-3.8499999999999996</v>
      </c>
      <c r="E80">
        <v>-39.105900000000005</v>
      </c>
      <c r="F80" t="s">
        <v>134</v>
      </c>
    </row>
    <row r="81" spans="1:6" x14ac:dyDescent="0.25">
      <c r="A81">
        <v>8131</v>
      </c>
      <c r="B81" t="s">
        <v>47</v>
      </c>
      <c r="C81">
        <v>202631</v>
      </c>
      <c r="D81">
        <v>-1.17</v>
      </c>
      <c r="E81">
        <v>-17.000700000000002</v>
      </c>
      <c r="F81" t="s">
        <v>134</v>
      </c>
    </row>
    <row r="82" spans="1:6" x14ac:dyDescent="0.25">
      <c r="A82">
        <v>8155</v>
      </c>
      <c r="B82" t="s">
        <v>47</v>
      </c>
      <c r="C82">
        <v>202631</v>
      </c>
      <c r="D82">
        <v>-1.56</v>
      </c>
      <c r="E82">
        <v>-5.6400000000000006</v>
      </c>
      <c r="F82" t="s">
        <v>134</v>
      </c>
    </row>
    <row r="83" spans="1:6" x14ac:dyDescent="0.25">
      <c r="A83">
        <v>8156</v>
      </c>
      <c r="B83" t="s">
        <v>47</v>
      </c>
      <c r="C83">
        <v>202631</v>
      </c>
      <c r="D83">
        <v>-1.32</v>
      </c>
      <c r="E83">
        <v>-6.9596</v>
      </c>
      <c r="F83" t="s">
        <v>134</v>
      </c>
    </row>
    <row r="84" spans="1:6" x14ac:dyDescent="0.25">
      <c r="A84">
        <v>8213</v>
      </c>
      <c r="B84" t="s">
        <v>47</v>
      </c>
      <c r="C84">
        <v>202631</v>
      </c>
      <c r="D84">
        <v>-99</v>
      </c>
      <c r="E84">
        <v>-10.841200000000001</v>
      </c>
      <c r="F84" t="s">
        <v>134</v>
      </c>
    </row>
    <row r="85" spans="1:6" x14ac:dyDescent="0.25">
      <c r="A85">
        <v>8214</v>
      </c>
      <c r="B85" t="s">
        <v>47</v>
      </c>
      <c r="C85">
        <v>202631</v>
      </c>
      <c r="D85">
        <v>-144</v>
      </c>
      <c r="E85">
        <v>-19.214300000000001</v>
      </c>
      <c r="F85" t="s">
        <v>134</v>
      </c>
    </row>
    <row r="86" spans="1:6" x14ac:dyDescent="0.25">
      <c r="A86">
        <v>8261</v>
      </c>
      <c r="B86" t="s">
        <v>47</v>
      </c>
      <c r="C86">
        <v>202631</v>
      </c>
      <c r="D86">
        <v>-0.34</v>
      </c>
      <c r="E86">
        <v>-13.386299999999999</v>
      </c>
      <c r="F86" t="s">
        <v>134</v>
      </c>
    </row>
    <row r="87" spans="1:6" x14ac:dyDescent="0.25">
      <c r="A87">
        <v>8336</v>
      </c>
      <c r="B87" t="s">
        <v>47</v>
      </c>
      <c r="C87">
        <v>202631</v>
      </c>
      <c r="D87">
        <v>-3</v>
      </c>
      <c r="E87">
        <v>-9.702</v>
      </c>
      <c r="F87" t="s">
        <v>134</v>
      </c>
    </row>
    <row r="88" spans="1:6" x14ac:dyDescent="0.25">
      <c r="A88">
        <v>8467</v>
      </c>
      <c r="B88" t="s">
        <v>47</v>
      </c>
      <c r="C88">
        <v>202631</v>
      </c>
      <c r="D88">
        <v>-12</v>
      </c>
      <c r="E88">
        <v>-6.7771000000000008</v>
      </c>
      <c r="F88" t="s">
        <v>134</v>
      </c>
    </row>
    <row r="89" spans="1:6" x14ac:dyDescent="0.25">
      <c r="A89">
        <v>8470</v>
      </c>
      <c r="B89" t="s">
        <v>47</v>
      </c>
      <c r="C89">
        <v>202631</v>
      </c>
      <c r="D89">
        <v>-46</v>
      </c>
      <c r="E89">
        <v>-21.278599999999997</v>
      </c>
      <c r="F89" t="s">
        <v>134</v>
      </c>
    </row>
    <row r="90" spans="1:6" x14ac:dyDescent="0.25">
      <c r="A90">
        <v>8502</v>
      </c>
      <c r="B90" t="s">
        <v>47</v>
      </c>
      <c r="C90">
        <v>202631</v>
      </c>
      <c r="D90">
        <v>-18</v>
      </c>
      <c r="E90">
        <v>-40.157299999999999</v>
      </c>
      <c r="F90" t="s">
        <v>134</v>
      </c>
    </row>
    <row r="91" spans="1:6" x14ac:dyDescent="0.25">
      <c r="A91">
        <v>8503</v>
      </c>
      <c r="B91" t="s">
        <v>47</v>
      </c>
      <c r="C91">
        <v>202631</v>
      </c>
      <c r="D91">
        <v>-12</v>
      </c>
      <c r="E91">
        <v>-17.412799999999997</v>
      </c>
      <c r="F91" t="s">
        <v>134</v>
      </c>
    </row>
    <row r="92" spans="1:6" x14ac:dyDescent="0.25">
      <c r="A92">
        <v>8513</v>
      </c>
      <c r="B92" t="s">
        <v>47</v>
      </c>
      <c r="C92">
        <v>202631</v>
      </c>
      <c r="D92">
        <v>-49</v>
      </c>
      <c r="E92">
        <v>-50.492600000000003</v>
      </c>
      <c r="F92" t="s">
        <v>134</v>
      </c>
    </row>
    <row r="93" spans="1:6" x14ac:dyDescent="0.25">
      <c r="A93">
        <v>8519</v>
      </c>
      <c r="B93" t="s">
        <v>47</v>
      </c>
      <c r="C93">
        <v>202631</v>
      </c>
      <c r="D93">
        <v>-35</v>
      </c>
      <c r="E93">
        <v>-41.244999999999997</v>
      </c>
      <c r="F93" t="s">
        <v>134</v>
      </c>
    </row>
    <row r="94" spans="1:6" x14ac:dyDescent="0.25">
      <c r="A94">
        <v>8654</v>
      </c>
      <c r="B94" t="s">
        <v>47</v>
      </c>
      <c r="C94">
        <v>202631</v>
      </c>
      <c r="D94">
        <v>-1.49</v>
      </c>
      <c r="E94">
        <v>-95.745500000000007</v>
      </c>
      <c r="F94" t="s">
        <v>134</v>
      </c>
    </row>
    <row r="95" spans="1:6" x14ac:dyDescent="0.25">
      <c r="A95">
        <v>8671</v>
      </c>
      <c r="B95" t="s">
        <v>47</v>
      </c>
      <c r="C95">
        <v>202631</v>
      </c>
      <c r="D95">
        <v>-50</v>
      </c>
      <c r="E95">
        <v>-12.638300000000001</v>
      </c>
      <c r="F95" t="s">
        <v>134</v>
      </c>
    </row>
    <row r="96" spans="1:6" x14ac:dyDescent="0.25">
      <c r="A96">
        <v>8672</v>
      </c>
      <c r="B96" t="s">
        <v>47</v>
      </c>
      <c r="C96">
        <v>202631</v>
      </c>
      <c r="D96">
        <v>-144</v>
      </c>
      <c r="E96">
        <v>-18.053100000000001</v>
      </c>
      <c r="F96" t="s">
        <v>134</v>
      </c>
    </row>
    <row r="97" spans="1:6" x14ac:dyDescent="0.25">
      <c r="A97">
        <v>9216</v>
      </c>
      <c r="B97" t="s">
        <v>47</v>
      </c>
      <c r="C97">
        <v>202631</v>
      </c>
      <c r="D97">
        <v>-48</v>
      </c>
      <c r="E97">
        <v>-96.783900000000003</v>
      </c>
      <c r="F97" t="s">
        <v>134</v>
      </c>
    </row>
    <row r="98" spans="1:6" x14ac:dyDescent="0.25">
      <c r="A98">
        <v>9734</v>
      </c>
      <c r="B98" t="s">
        <v>47</v>
      </c>
      <c r="C98">
        <v>202631</v>
      </c>
      <c r="D98">
        <v>-0.02</v>
      </c>
      <c r="E98">
        <v>0</v>
      </c>
      <c r="F98" t="s">
        <v>134</v>
      </c>
    </row>
    <row r="99" spans="1:6" x14ac:dyDescent="0.25">
      <c r="A99">
        <v>9924</v>
      </c>
      <c r="B99" t="s">
        <v>47</v>
      </c>
      <c r="C99">
        <v>202631</v>
      </c>
      <c r="D99">
        <v>-7</v>
      </c>
      <c r="E99">
        <v>-10.2064</v>
      </c>
      <c r="F99" t="s">
        <v>134</v>
      </c>
    </row>
    <row r="100" spans="1:6" x14ac:dyDescent="0.25">
      <c r="A100">
        <v>9933</v>
      </c>
      <c r="B100" t="s">
        <v>47</v>
      </c>
      <c r="C100">
        <v>202631</v>
      </c>
      <c r="D100">
        <v>-17</v>
      </c>
      <c r="E100">
        <v>-39.106299999999997</v>
      </c>
      <c r="F100" t="s">
        <v>134</v>
      </c>
    </row>
    <row r="101" spans="1:6" x14ac:dyDescent="0.25">
      <c r="A101">
        <v>10563</v>
      </c>
      <c r="B101" t="s">
        <v>47</v>
      </c>
      <c r="C101">
        <v>202631</v>
      </c>
      <c r="D101">
        <v>-3.4000000000000002E-2</v>
      </c>
      <c r="E101">
        <v>-1.367</v>
      </c>
      <c r="F101" t="s">
        <v>134</v>
      </c>
    </row>
    <row r="102" spans="1:6" x14ac:dyDescent="0.25">
      <c r="A102">
        <v>10564</v>
      </c>
      <c r="B102" t="s">
        <v>47</v>
      </c>
      <c r="C102">
        <v>202631</v>
      </c>
      <c r="D102">
        <v>-4.0289999999999999</v>
      </c>
      <c r="E102">
        <v>-120.07319999999999</v>
      </c>
      <c r="F102" t="s">
        <v>134</v>
      </c>
    </row>
    <row r="103" spans="1:6" x14ac:dyDescent="0.25">
      <c r="A103">
        <v>11471</v>
      </c>
      <c r="B103" t="s">
        <v>47</v>
      </c>
      <c r="C103">
        <v>202631</v>
      </c>
      <c r="D103">
        <v>-5.5004</v>
      </c>
      <c r="E103">
        <v>-103.77709999999999</v>
      </c>
      <c r="F103" t="s">
        <v>134</v>
      </c>
    </row>
    <row r="104" spans="1:6" x14ac:dyDescent="0.25">
      <c r="A104">
        <v>11532</v>
      </c>
      <c r="B104" t="s">
        <v>47</v>
      </c>
      <c r="C104">
        <v>202631</v>
      </c>
      <c r="D104">
        <v>-0.02</v>
      </c>
      <c r="E104">
        <v>-2.2254</v>
      </c>
      <c r="F104" t="s">
        <v>134</v>
      </c>
    </row>
    <row r="105" spans="1:6" x14ac:dyDescent="0.25">
      <c r="A105">
        <v>11536</v>
      </c>
      <c r="B105" t="s">
        <v>47</v>
      </c>
      <c r="C105">
        <v>202631</v>
      </c>
      <c r="D105">
        <v>-8.0000000000000002E-3</v>
      </c>
      <c r="E105">
        <v>-2.5419999999999998</v>
      </c>
      <c r="F105" t="s">
        <v>134</v>
      </c>
    </row>
    <row r="106" spans="1:6" x14ac:dyDescent="0.25">
      <c r="A106">
        <v>11851</v>
      </c>
      <c r="B106" t="s">
        <v>47</v>
      </c>
      <c r="C106">
        <v>202631</v>
      </c>
      <c r="D106">
        <v>-225</v>
      </c>
      <c r="E106">
        <v>-19.383800000000001</v>
      </c>
      <c r="F106" t="s">
        <v>134</v>
      </c>
    </row>
    <row r="107" spans="1:6" x14ac:dyDescent="0.25">
      <c r="A107">
        <v>12128</v>
      </c>
      <c r="B107" t="s">
        <v>47</v>
      </c>
      <c r="C107">
        <v>202631</v>
      </c>
      <c r="D107">
        <v>-49</v>
      </c>
      <c r="E107">
        <v>-11.9884</v>
      </c>
      <c r="F107" t="s">
        <v>134</v>
      </c>
    </row>
    <row r="108" spans="1:6" x14ac:dyDescent="0.25">
      <c r="A108">
        <v>12682</v>
      </c>
      <c r="B108" t="s">
        <v>47</v>
      </c>
      <c r="C108">
        <v>202631</v>
      </c>
      <c r="D108">
        <v>-17.991099999999999</v>
      </c>
      <c r="E108">
        <v>-56.383399999999995</v>
      </c>
      <c r="F108" t="s">
        <v>134</v>
      </c>
    </row>
    <row r="109" spans="1:6" x14ac:dyDescent="0.25">
      <c r="A109">
        <v>12683</v>
      </c>
      <c r="B109" t="s">
        <v>47</v>
      </c>
      <c r="C109">
        <v>202631</v>
      </c>
      <c r="D109">
        <v>-18.889500000000002</v>
      </c>
      <c r="E109">
        <v>-54.292099999999998</v>
      </c>
      <c r="F109" t="s">
        <v>134</v>
      </c>
    </row>
    <row r="110" spans="1:6" x14ac:dyDescent="0.25">
      <c r="A110">
        <v>13005</v>
      </c>
      <c r="B110" t="s">
        <v>47</v>
      </c>
      <c r="C110">
        <v>202631</v>
      </c>
      <c r="D110">
        <v>-21</v>
      </c>
      <c r="E110">
        <v>-57.994100000000003</v>
      </c>
      <c r="F110" t="s">
        <v>134</v>
      </c>
    </row>
    <row r="111" spans="1:6" x14ac:dyDescent="0.25">
      <c r="A111">
        <v>13362</v>
      </c>
      <c r="B111" t="s">
        <v>47</v>
      </c>
      <c r="C111">
        <v>202631</v>
      </c>
      <c r="D111">
        <v>-17</v>
      </c>
      <c r="E111">
        <v>-58.945200000000007</v>
      </c>
      <c r="F111" t="s">
        <v>134</v>
      </c>
    </row>
    <row r="112" spans="1:6" x14ac:dyDescent="0.25">
      <c r="A112">
        <v>13368</v>
      </c>
      <c r="B112" t="s">
        <v>47</v>
      </c>
      <c r="C112">
        <v>202631</v>
      </c>
      <c r="D112">
        <v>-2</v>
      </c>
      <c r="E112">
        <v>-12.7186</v>
      </c>
      <c r="F112" t="s">
        <v>134</v>
      </c>
    </row>
    <row r="113" spans="1:6" x14ac:dyDescent="0.25">
      <c r="A113">
        <v>13370</v>
      </c>
      <c r="B113" t="s">
        <v>47</v>
      </c>
      <c r="C113">
        <v>202631</v>
      </c>
      <c r="D113">
        <v>-3</v>
      </c>
      <c r="E113">
        <v>-14.589</v>
      </c>
      <c r="F113" t="s">
        <v>134</v>
      </c>
    </row>
    <row r="114" spans="1:6" x14ac:dyDescent="0.25">
      <c r="A114">
        <v>13422</v>
      </c>
      <c r="B114" t="s">
        <v>47</v>
      </c>
      <c r="C114">
        <v>202631</v>
      </c>
      <c r="D114">
        <v>-144</v>
      </c>
      <c r="E114">
        <v>-33.771599999999999</v>
      </c>
      <c r="F114" t="s">
        <v>134</v>
      </c>
    </row>
    <row r="115" spans="1:6" x14ac:dyDescent="0.25">
      <c r="A115">
        <v>13423</v>
      </c>
      <c r="B115" t="s">
        <v>47</v>
      </c>
      <c r="C115">
        <v>202631</v>
      </c>
      <c r="D115">
        <v>-51</v>
      </c>
      <c r="E115">
        <v>-7.4340000000000002</v>
      </c>
      <c r="F115" t="s">
        <v>134</v>
      </c>
    </row>
    <row r="116" spans="1:6" x14ac:dyDescent="0.25">
      <c r="A116">
        <v>13432</v>
      </c>
      <c r="B116" t="s">
        <v>47</v>
      </c>
      <c r="C116">
        <v>202631</v>
      </c>
      <c r="D116">
        <v>-87</v>
      </c>
      <c r="E116">
        <v>-245.53640000000001</v>
      </c>
      <c r="F116" t="s">
        <v>134</v>
      </c>
    </row>
    <row r="117" spans="1:6" x14ac:dyDescent="0.25">
      <c r="A117">
        <v>13433</v>
      </c>
      <c r="B117" t="s">
        <v>47</v>
      </c>
      <c r="C117">
        <v>202631</v>
      </c>
      <c r="D117">
        <v>-0.4</v>
      </c>
      <c r="E117">
        <v>-5.0291999999999994</v>
      </c>
      <c r="F117" t="s">
        <v>134</v>
      </c>
    </row>
    <row r="118" spans="1:6" x14ac:dyDescent="0.25">
      <c r="A118">
        <v>13434</v>
      </c>
      <c r="B118" t="s">
        <v>47</v>
      </c>
      <c r="C118">
        <v>202631</v>
      </c>
      <c r="D118">
        <v>-8</v>
      </c>
      <c r="E118">
        <v>-181.19159999999999</v>
      </c>
      <c r="F118" t="s">
        <v>134</v>
      </c>
    </row>
    <row r="119" spans="1:6" x14ac:dyDescent="0.25">
      <c r="A119">
        <v>13453</v>
      </c>
      <c r="B119" t="s">
        <v>47</v>
      </c>
      <c r="C119">
        <v>202631</v>
      </c>
      <c r="D119">
        <v>-15</v>
      </c>
      <c r="E119">
        <v>-10.476199999999999</v>
      </c>
      <c r="F119" t="s">
        <v>134</v>
      </c>
    </row>
    <row r="120" spans="1:6" x14ac:dyDescent="0.25">
      <c r="A120">
        <v>13454</v>
      </c>
      <c r="B120" t="s">
        <v>47</v>
      </c>
      <c r="C120">
        <v>202631</v>
      </c>
      <c r="D120">
        <v>-10</v>
      </c>
      <c r="E120">
        <v>-4.9072000000000005</v>
      </c>
      <c r="F120" t="s">
        <v>134</v>
      </c>
    </row>
    <row r="121" spans="1:6" x14ac:dyDescent="0.25">
      <c r="A121">
        <v>13455</v>
      </c>
      <c r="B121" t="s">
        <v>47</v>
      </c>
      <c r="C121">
        <v>202631</v>
      </c>
      <c r="D121">
        <v>-15</v>
      </c>
      <c r="E121">
        <v>-47.993700000000004</v>
      </c>
      <c r="F121" t="s">
        <v>134</v>
      </c>
    </row>
    <row r="122" spans="1:6" x14ac:dyDescent="0.25">
      <c r="A122">
        <v>13488</v>
      </c>
      <c r="B122" t="s">
        <v>47</v>
      </c>
      <c r="C122">
        <v>202631</v>
      </c>
      <c r="D122">
        <v>-0.23599999999999999</v>
      </c>
      <c r="E122">
        <v>0</v>
      </c>
      <c r="F122" t="s">
        <v>134</v>
      </c>
    </row>
    <row r="123" spans="1:6" x14ac:dyDescent="0.25">
      <c r="A123">
        <v>13546</v>
      </c>
      <c r="B123" t="s">
        <v>47</v>
      </c>
      <c r="C123">
        <v>202631</v>
      </c>
      <c r="D123">
        <v>-7</v>
      </c>
      <c r="E123">
        <v>-13.052</v>
      </c>
      <c r="F123" t="s">
        <v>134</v>
      </c>
    </row>
    <row r="124" spans="1:6" x14ac:dyDescent="0.25">
      <c r="A124">
        <v>13549</v>
      </c>
      <c r="B124" t="s">
        <v>47</v>
      </c>
      <c r="C124">
        <v>202631</v>
      </c>
      <c r="D124">
        <v>-9</v>
      </c>
      <c r="E124">
        <v>-21.8048</v>
      </c>
      <c r="F124" t="s">
        <v>134</v>
      </c>
    </row>
    <row r="125" spans="1:6" x14ac:dyDescent="0.25">
      <c r="A125">
        <v>13580</v>
      </c>
      <c r="B125" t="s">
        <v>47</v>
      </c>
      <c r="C125">
        <v>202631</v>
      </c>
      <c r="D125">
        <v>-25</v>
      </c>
      <c r="E125">
        <v>-31.961200000000002</v>
      </c>
      <c r="F125" t="s">
        <v>134</v>
      </c>
    </row>
    <row r="126" spans="1:6" x14ac:dyDescent="0.25">
      <c r="A126">
        <v>13583</v>
      </c>
      <c r="B126" t="s">
        <v>47</v>
      </c>
      <c r="C126">
        <v>202631</v>
      </c>
      <c r="D126">
        <v>-14</v>
      </c>
      <c r="E126">
        <v>-26.229700000000001</v>
      </c>
      <c r="F126" t="s">
        <v>134</v>
      </c>
    </row>
    <row r="127" spans="1:6" x14ac:dyDescent="0.25">
      <c r="A127">
        <v>13585</v>
      </c>
      <c r="B127" t="s">
        <v>47</v>
      </c>
      <c r="C127">
        <v>202631</v>
      </c>
      <c r="D127">
        <v>-50</v>
      </c>
      <c r="E127">
        <v>-107.59529999999999</v>
      </c>
      <c r="F127" t="s">
        <v>134</v>
      </c>
    </row>
    <row r="128" spans="1:6" x14ac:dyDescent="0.25">
      <c r="A128">
        <v>13599</v>
      </c>
      <c r="B128" t="s">
        <v>47</v>
      </c>
      <c r="C128">
        <v>202631</v>
      </c>
      <c r="D128">
        <v>-0.04</v>
      </c>
      <c r="E128">
        <v>-2.0778000000000003</v>
      </c>
      <c r="F128" t="s">
        <v>134</v>
      </c>
    </row>
    <row r="129" spans="1:6" x14ac:dyDescent="0.25">
      <c r="A129">
        <v>9734</v>
      </c>
      <c r="B129" t="s">
        <v>48</v>
      </c>
      <c r="C129">
        <v>202631</v>
      </c>
      <c r="D129">
        <v>0.02</v>
      </c>
      <c r="E129">
        <v>0</v>
      </c>
      <c r="F129" t="s">
        <v>134</v>
      </c>
    </row>
    <row r="130" spans="1:6" x14ac:dyDescent="0.25">
      <c r="A130">
        <v>13368</v>
      </c>
      <c r="B130" t="s">
        <v>48</v>
      </c>
      <c r="C130">
        <v>202631</v>
      </c>
      <c r="D130">
        <v>2</v>
      </c>
      <c r="E130">
        <v>12.7186</v>
      </c>
      <c r="F130" t="s">
        <v>134</v>
      </c>
    </row>
    <row r="131" spans="1:6" x14ac:dyDescent="0.25">
      <c r="A131">
        <v>877</v>
      </c>
      <c r="B131" t="s">
        <v>47</v>
      </c>
      <c r="C131">
        <v>202631</v>
      </c>
      <c r="D131">
        <v>-0.36499999999999999</v>
      </c>
      <c r="E131">
        <v>-1.62</v>
      </c>
      <c r="F131" t="s">
        <v>134</v>
      </c>
    </row>
    <row r="132" spans="1:6" x14ac:dyDescent="0.25">
      <c r="A132">
        <v>3605</v>
      </c>
      <c r="B132" t="s">
        <v>47</v>
      </c>
      <c r="C132">
        <v>202631</v>
      </c>
      <c r="D132">
        <v>-8.0000000000000002E-3</v>
      </c>
      <c r="E132">
        <v>-0.14979999999999999</v>
      </c>
      <c r="F132" t="s">
        <v>134</v>
      </c>
    </row>
    <row r="133" spans="1:6" x14ac:dyDescent="0.25">
      <c r="A133">
        <v>8075</v>
      </c>
      <c r="B133" t="s">
        <v>47</v>
      </c>
      <c r="C133">
        <v>202631</v>
      </c>
      <c r="D133">
        <v>-2.0629999999999997</v>
      </c>
      <c r="E133">
        <v>-23.395199999999999</v>
      </c>
      <c r="F133" t="s">
        <v>134</v>
      </c>
    </row>
    <row r="134" spans="1:6" x14ac:dyDescent="0.25">
      <c r="A134">
        <v>8118</v>
      </c>
      <c r="B134" t="s">
        <v>47</v>
      </c>
      <c r="C134">
        <v>202631</v>
      </c>
      <c r="D134">
        <v>-3.2889999999999997</v>
      </c>
      <c r="E134">
        <v>-23.898</v>
      </c>
      <c r="F134" t="s">
        <v>134</v>
      </c>
    </row>
    <row r="135" spans="1:6" x14ac:dyDescent="0.25">
      <c r="A135">
        <v>8670</v>
      </c>
      <c r="B135" t="s">
        <v>47</v>
      </c>
      <c r="C135">
        <v>202631</v>
      </c>
      <c r="D135">
        <v>-4</v>
      </c>
      <c r="E135">
        <v>-0.40650000000000003</v>
      </c>
      <c r="F135" t="s">
        <v>134</v>
      </c>
    </row>
    <row r="136" spans="1:6" x14ac:dyDescent="0.25">
      <c r="A136">
        <v>8673</v>
      </c>
      <c r="B136" t="s">
        <v>47</v>
      </c>
      <c r="C136">
        <v>202631</v>
      </c>
      <c r="D136">
        <v>-4</v>
      </c>
      <c r="E136">
        <v>-0.38850000000000001</v>
      </c>
      <c r="F136" t="s">
        <v>134</v>
      </c>
    </row>
    <row r="137" spans="1:6" x14ac:dyDescent="0.25">
      <c r="A137">
        <v>11535</v>
      </c>
      <c r="B137" t="s">
        <v>47</v>
      </c>
      <c r="C137">
        <v>202631</v>
      </c>
      <c r="D137">
        <v>-0.3</v>
      </c>
      <c r="E137">
        <v>-4.9184000000000001</v>
      </c>
      <c r="F137" t="s">
        <v>134</v>
      </c>
    </row>
    <row r="138" spans="1:6" x14ac:dyDescent="0.25">
      <c r="A138">
        <v>12684</v>
      </c>
      <c r="B138" t="s">
        <v>47</v>
      </c>
      <c r="C138">
        <v>202631</v>
      </c>
      <c r="D138">
        <v>-2.9363999999999999</v>
      </c>
      <c r="E138">
        <v>-7.3773999999999997</v>
      </c>
      <c r="F138" t="s">
        <v>134</v>
      </c>
    </row>
    <row r="139" spans="1:6" x14ac:dyDescent="0.25">
      <c r="A139">
        <v>6</v>
      </c>
      <c r="B139" t="s">
        <v>47</v>
      </c>
      <c r="C139">
        <v>202631</v>
      </c>
      <c r="D139">
        <v>-0.24</v>
      </c>
      <c r="E139">
        <v>-11.8773</v>
      </c>
      <c r="F139" t="s">
        <v>134</v>
      </c>
    </row>
    <row r="140" spans="1:6" x14ac:dyDescent="0.25">
      <c r="A140">
        <v>49</v>
      </c>
      <c r="B140" t="s">
        <v>47</v>
      </c>
      <c r="C140">
        <v>202631</v>
      </c>
      <c r="D140">
        <v>-2</v>
      </c>
      <c r="E140">
        <v>-7.46E-2</v>
      </c>
      <c r="F140" t="s">
        <v>134</v>
      </c>
    </row>
    <row r="141" spans="1:6" x14ac:dyDescent="0.25">
      <c r="A141">
        <v>96</v>
      </c>
      <c r="B141" t="s">
        <v>47</v>
      </c>
      <c r="C141">
        <v>202631</v>
      </c>
      <c r="D141">
        <v>-1</v>
      </c>
      <c r="E141">
        <v>-7.46E-2</v>
      </c>
      <c r="F141" t="s">
        <v>134</v>
      </c>
    </row>
    <row r="142" spans="1:6" x14ac:dyDescent="0.25">
      <c r="A142">
        <v>613</v>
      </c>
      <c r="B142" t="s">
        <v>47</v>
      </c>
      <c r="C142">
        <v>202631</v>
      </c>
      <c r="D142">
        <v>-0.01</v>
      </c>
      <c r="E142">
        <v>-2.5399999999999999E-2</v>
      </c>
      <c r="F142" t="s">
        <v>134</v>
      </c>
    </row>
    <row r="143" spans="1:6" x14ac:dyDescent="0.25">
      <c r="A143">
        <v>1097</v>
      </c>
      <c r="B143" t="s">
        <v>47</v>
      </c>
      <c r="C143">
        <v>202631</v>
      </c>
      <c r="D143">
        <v>-3</v>
      </c>
      <c r="E143">
        <v>-0.40439999999999998</v>
      </c>
      <c r="F143" t="s">
        <v>134</v>
      </c>
    </row>
    <row r="144" spans="1:6" x14ac:dyDescent="0.25">
      <c r="A144">
        <v>3616</v>
      </c>
      <c r="B144" t="s">
        <v>47</v>
      </c>
      <c r="C144">
        <v>202631</v>
      </c>
      <c r="D144">
        <v>-1</v>
      </c>
      <c r="E144">
        <v>-8.7099999999999997E-2</v>
      </c>
      <c r="F144" t="s">
        <v>134</v>
      </c>
    </row>
    <row r="145" spans="1:6" x14ac:dyDescent="0.25">
      <c r="A145">
        <v>13164</v>
      </c>
      <c r="B145" t="s">
        <v>47</v>
      </c>
      <c r="C145">
        <v>202631</v>
      </c>
      <c r="D145">
        <v>-3.4000000000000002E-2</v>
      </c>
      <c r="E145">
        <v>-1.8520000000000001</v>
      </c>
      <c r="F145" t="s">
        <v>134</v>
      </c>
    </row>
    <row r="146" spans="1:6" x14ac:dyDescent="0.25">
      <c r="A146">
        <v>8337</v>
      </c>
      <c r="B146" t="s">
        <v>47</v>
      </c>
      <c r="C146">
        <v>202631</v>
      </c>
      <c r="D146">
        <v>-0.26</v>
      </c>
      <c r="E146">
        <v>-2.6798000000000002</v>
      </c>
      <c r="F146" t="s">
        <v>134</v>
      </c>
    </row>
    <row r="147" spans="1:6" x14ac:dyDescent="0.25">
      <c r="A147">
        <v>8478</v>
      </c>
      <c r="B147" t="s">
        <v>47</v>
      </c>
      <c r="C147">
        <v>202631</v>
      </c>
      <c r="D147">
        <v>-0.2</v>
      </c>
      <c r="E147">
        <v>-1.8052999999999999</v>
      </c>
      <c r="F147" t="s">
        <v>134</v>
      </c>
    </row>
    <row r="148" spans="1:6" x14ac:dyDescent="0.25">
      <c r="A148">
        <v>8845</v>
      </c>
      <c r="B148" t="s">
        <v>47</v>
      </c>
      <c r="C148">
        <v>202631</v>
      </c>
      <c r="D148">
        <v>-2</v>
      </c>
      <c r="E148">
        <v>-0.4</v>
      </c>
      <c r="F148" t="s">
        <v>134</v>
      </c>
    </row>
    <row r="149" spans="1:6" x14ac:dyDescent="0.25">
      <c r="A149">
        <v>11546</v>
      </c>
      <c r="B149" t="s">
        <v>47</v>
      </c>
      <c r="C149">
        <v>202631</v>
      </c>
      <c r="D149">
        <v>-0.3</v>
      </c>
      <c r="E149">
        <v>-0.51129999999999998</v>
      </c>
      <c r="F149" t="s">
        <v>134</v>
      </c>
    </row>
    <row r="150" spans="1:6" x14ac:dyDescent="0.25">
      <c r="A150">
        <v>11785</v>
      </c>
      <c r="B150" t="s">
        <v>47</v>
      </c>
      <c r="C150">
        <v>202631</v>
      </c>
      <c r="D150">
        <v>-1</v>
      </c>
      <c r="E150">
        <v>-0.65239999999999998</v>
      </c>
      <c r="F150" t="s">
        <v>134</v>
      </c>
    </row>
    <row r="151" spans="1:6" x14ac:dyDescent="0.25">
      <c r="A151">
        <v>13526</v>
      </c>
      <c r="B151" t="s">
        <v>47</v>
      </c>
      <c r="C151">
        <v>202631</v>
      </c>
      <c r="D151">
        <v>-0.14000000000000001</v>
      </c>
      <c r="E151">
        <v>-4.2973999999999997</v>
      </c>
      <c r="F151" t="s">
        <v>134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BBDB-2FF1-47E7-B76D-322442DE7272}">
  <sheetPr codeName="Hoja4"/>
  <dimension ref="A1:F76"/>
  <sheetViews>
    <sheetView workbookViewId="0">
      <selection activeCell="B17" sqref="B17"/>
    </sheetView>
  </sheetViews>
  <sheetFormatPr baseColWidth="10" defaultRowHeight="15" x14ac:dyDescent="0.25"/>
  <cols>
    <col min="1" max="1" width="7.42578125" bestFit="1" customWidth="1"/>
    <col min="2" max="2" width="27" bestFit="1" customWidth="1"/>
    <col min="3" max="3" width="26.7109375" bestFit="1" customWidth="1"/>
    <col min="4" max="4" width="17.85546875" bestFit="1" customWidth="1"/>
    <col min="5" max="5" width="18.140625" bestFit="1" customWidth="1"/>
    <col min="6" max="6" width="13.85546875" bestFit="1" customWidth="1"/>
    <col min="7" max="7" width="28.42578125" bestFit="1" customWidth="1"/>
    <col min="8" max="9" width="8.42578125" bestFit="1" customWidth="1"/>
  </cols>
  <sheetData>
    <row r="1" spans="1:6" x14ac:dyDescent="0.25">
      <c r="A1" t="s">
        <v>37</v>
      </c>
      <c r="B1" t="s">
        <v>38</v>
      </c>
      <c r="C1" t="s">
        <v>39</v>
      </c>
      <c r="D1" t="s">
        <v>57</v>
      </c>
      <c r="E1" t="s">
        <v>58</v>
      </c>
      <c r="F1" t="s">
        <v>0</v>
      </c>
    </row>
    <row r="2" spans="1:6" x14ac:dyDescent="0.25">
      <c r="A2">
        <v>6</v>
      </c>
      <c r="B2">
        <v>0</v>
      </c>
      <c r="C2">
        <v>0</v>
      </c>
      <c r="D2">
        <v>0</v>
      </c>
      <c r="E2">
        <v>0</v>
      </c>
      <c r="F2" t="s">
        <v>134</v>
      </c>
    </row>
    <row r="3" spans="1:6" x14ac:dyDescent="0.25">
      <c r="A3">
        <v>49</v>
      </c>
      <c r="B3">
        <v>0</v>
      </c>
      <c r="C3">
        <v>0</v>
      </c>
      <c r="D3">
        <v>0</v>
      </c>
      <c r="E3">
        <v>0</v>
      </c>
      <c r="F3" t="s">
        <v>134</v>
      </c>
    </row>
    <row r="4" spans="1:6" x14ac:dyDescent="0.25">
      <c r="A4">
        <v>96</v>
      </c>
      <c r="B4">
        <v>0</v>
      </c>
      <c r="C4">
        <v>0</v>
      </c>
      <c r="D4">
        <v>0</v>
      </c>
      <c r="E4">
        <v>0</v>
      </c>
      <c r="F4" t="s">
        <v>134</v>
      </c>
    </row>
    <row r="5" spans="1:6" x14ac:dyDescent="0.25">
      <c r="A5">
        <v>346</v>
      </c>
      <c r="B5">
        <v>0</v>
      </c>
      <c r="C5">
        <v>0</v>
      </c>
      <c r="D5">
        <v>0</v>
      </c>
      <c r="E5">
        <v>0</v>
      </c>
      <c r="F5" t="s">
        <v>134</v>
      </c>
    </row>
    <row r="6" spans="1:6" x14ac:dyDescent="0.25">
      <c r="A6">
        <v>370</v>
      </c>
      <c r="B6">
        <v>0</v>
      </c>
      <c r="C6">
        <v>0</v>
      </c>
      <c r="D6">
        <v>0</v>
      </c>
      <c r="E6">
        <v>0</v>
      </c>
      <c r="F6" t="s">
        <v>134</v>
      </c>
    </row>
    <row r="7" spans="1:6" x14ac:dyDescent="0.25">
      <c r="A7">
        <v>613</v>
      </c>
      <c r="B7">
        <v>0</v>
      </c>
      <c r="C7">
        <v>0</v>
      </c>
      <c r="D7">
        <v>0</v>
      </c>
      <c r="E7">
        <v>0</v>
      </c>
      <c r="F7" t="s">
        <v>134</v>
      </c>
    </row>
    <row r="8" spans="1:6" x14ac:dyDescent="0.25">
      <c r="A8">
        <v>877</v>
      </c>
      <c r="B8">
        <v>0</v>
      </c>
      <c r="C8">
        <v>0</v>
      </c>
      <c r="D8">
        <v>0</v>
      </c>
      <c r="E8">
        <v>0</v>
      </c>
      <c r="F8" t="s">
        <v>134</v>
      </c>
    </row>
    <row r="9" spans="1:6" x14ac:dyDescent="0.25">
      <c r="A9">
        <v>1097</v>
      </c>
      <c r="B9">
        <v>0</v>
      </c>
      <c r="C9">
        <v>0</v>
      </c>
      <c r="D9">
        <v>0</v>
      </c>
      <c r="E9">
        <v>0</v>
      </c>
      <c r="F9" t="s">
        <v>134</v>
      </c>
    </row>
    <row r="10" spans="1:6" x14ac:dyDescent="0.25">
      <c r="A10">
        <v>1132</v>
      </c>
      <c r="B10">
        <v>0</v>
      </c>
      <c r="C10">
        <v>0</v>
      </c>
      <c r="D10">
        <v>0</v>
      </c>
      <c r="E10">
        <v>0</v>
      </c>
      <c r="F10" t="s">
        <v>134</v>
      </c>
    </row>
    <row r="11" spans="1:6" x14ac:dyDescent="0.25">
      <c r="A11">
        <v>3605</v>
      </c>
      <c r="B11">
        <v>0</v>
      </c>
      <c r="C11">
        <v>0</v>
      </c>
      <c r="D11">
        <v>0</v>
      </c>
      <c r="E11">
        <v>0</v>
      </c>
      <c r="F11" t="s">
        <v>134</v>
      </c>
    </row>
    <row r="12" spans="1:6" x14ac:dyDescent="0.25">
      <c r="A12">
        <v>3616</v>
      </c>
      <c r="B12">
        <v>0</v>
      </c>
      <c r="C12">
        <v>0</v>
      </c>
      <c r="D12">
        <v>0</v>
      </c>
      <c r="E12">
        <v>0</v>
      </c>
      <c r="F12" t="s">
        <v>134</v>
      </c>
    </row>
    <row r="13" spans="1:6" x14ac:dyDescent="0.25">
      <c r="A13">
        <v>5406</v>
      </c>
      <c r="B13">
        <v>0</v>
      </c>
      <c r="C13">
        <v>0</v>
      </c>
      <c r="D13">
        <v>0</v>
      </c>
      <c r="E13">
        <v>0</v>
      </c>
      <c r="F13" t="s">
        <v>134</v>
      </c>
    </row>
    <row r="14" spans="1:6" x14ac:dyDescent="0.25">
      <c r="A14">
        <v>7687</v>
      </c>
      <c r="B14">
        <v>0</v>
      </c>
      <c r="C14">
        <v>0</v>
      </c>
      <c r="D14">
        <v>0</v>
      </c>
      <c r="E14">
        <v>0</v>
      </c>
      <c r="F14" t="s">
        <v>134</v>
      </c>
    </row>
    <row r="15" spans="1:6" x14ac:dyDescent="0.25">
      <c r="A15">
        <v>8075</v>
      </c>
      <c r="B15">
        <v>0</v>
      </c>
      <c r="C15">
        <v>0</v>
      </c>
      <c r="D15">
        <v>0</v>
      </c>
      <c r="E15">
        <v>0</v>
      </c>
      <c r="F15" t="s">
        <v>134</v>
      </c>
    </row>
    <row r="16" spans="1:6" x14ac:dyDescent="0.25">
      <c r="A16">
        <v>8084</v>
      </c>
      <c r="B16">
        <v>0</v>
      </c>
      <c r="C16">
        <v>0</v>
      </c>
      <c r="D16">
        <v>0</v>
      </c>
      <c r="E16">
        <v>0</v>
      </c>
      <c r="F16" t="s">
        <v>134</v>
      </c>
    </row>
    <row r="17" spans="1:6" x14ac:dyDescent="0.25">
      <c r="A17">
        <v>8118</v>
      </c>
      <c r="B17">
        <v>0</v>
      </c>
      <c r="C17">
        <v>0</v>
      </c>
      <c r="D17">
        <v>0</v>
      </c>
      <c r="E17">
        <v>0</v>
      </c>
      <c r="F17" t="s">
        <v>134</v>
      </c>
    </row>
    <row r="18" spans="1:6" x14ac:dyDescent="0.25">
      <c r="A18">
        <v>8131</v>
      </c>
      <c r="B18">
        <v>0</v>
      </c>
      <c r="C18">
        <v>0</v>
      </c>
      <c r="D18">
        <v>0</v>
      </c>
      <c r="E18">
        <v>0</v>
      </c>
      <c r="F18" t="s">
        <v>134</v>
      </c>
    </row>
    <row r="19" spans="1:6" x14ac:dyDescent="0.25">
      <c r="A19">
        <v>8155</v>
      </c>
      <c r="B19">
        <v>0</v>
      </c>
      <c r="C19">
        <v>0</v>
      </c>
      <c r="D19">
        <v>0</v>
      </c>
      <c r="E19">
        <v>0</v>
      </c>
      <c r="F19" t="s">
        <v>134</v>
      </c>
    </row>
    <row r="20" spans="1:6" x14ac:dyDescent="0.25">
      <c r="A20">
        <v>8156</v>
      </c>
      <c r="B20">
        <v>0</v>
      </c>
      <c r="C20">
        <v>0</v>
      </c>
      <c r="D20">
        <v>0</v>
      </c>
      <c r="E20">
        <v>0</v>
      </c>
      <c r="F20" t="s">
        <v>134</v>
      </c>
    </row>
    <row r="21" spans="1:6" x14ac:dyDescent="0.25">
      <c r="A21">
        <v>8213</v>
      </c>
      <c r="B21">
        <v>0</v>
      </c>
      <c r="C21">
        <v>0</v>
      </c>
      <c r="D21">
        <v>0</v>
      </c>
      <c r="E21">
        <v>0</v>
      </c>
      <c r="F21" t="s">
        <v>134</v>
      </c>
    </row>
    <row r="22" spans="1:6" x14ac:dyDescent="0.25">
      <c r="A22">
        <v>8214</v>
      </c>
      <c r="B22">
        <v>0</v>
      </c>
      <c r="C22">
        <v>0</v>
      </c>
      <c r="D22">
        <v>0</v>
      </c>
      <c r="E22">
        <v>0</v>
      </c>
      <c r="F22" t="s">
        <v>134</v>
      </c>
    </row>
    <row r="23" spans="1:6" x14ac:dyDescent="0.25">
      <c r="A23">
        <v>8261</v>
      </c>
      <c r="B23">
        <v>0</v>
      </c>
      <c r="C23">
        <v>0</v>
      </c>
      <c r="D23">
        <v>0</v>
      </c>
      <c r="E23">
        <v>0</v>
      </c>
      <c r="F23" t="s">
        <v>134</v>
      </c>
    </row>
    <row r="24" spans="1:6" x14ac:dyDescent="0.25">
      <c r="A24">
        <v>8336</v>
      </c>
      <c r="B24">
        <v>0</v>
      </c>
      <c r="C24">
        <v>0</v>
      </c>
      <c r="D24">
        <v>0</v>
      </c>
      <c r="E24">
        <v>0</v>
      </c>
      <c r="F24" t="s">
        <v>134</v>
      </c>
    </row>
    <row r="25" spans="1:6" x14ac:dyDescent="0.25">
      <c r="A25">
        <v>8337</v>
      </c>
      <c r="B25">
        <v>0</v>
      </c>
      <c r="C25">
        <v>0</v>
      </c>
      <c r="D25">
        <v>0</v>
      </c>
      <c r="E25">
        <v>0</v>
      </c>
      <c r="F25" t="s">
        <v>134</v>
      </c>
    </row>
    <row r="26" spans="1:6" x14ac:dyDescent="0.25">
      <c r="A26">
        <v>8467</v>
      </c>
      <c r="B26">
        <v>0</v>
      </c>
      <c r="C26">
        <v>0</v>
      </c>
      <c r="D26">
        <v>0</v>
      </c>
      <c r="E26">
        <v>0</v>
      </c>
      <c r="F26" t="s">
        <v>134</v>
      </c>
    </row>
    <row r="27" spans="1:6" x14ac:dyDescent="0.25">
      <c r="A27">
        <v>8470</v>
      </c>
      <c r="B27">
        <v>0</v>
      </c>
      <c r="C27">
        <v>0</v>
      </c>
      <c r="D27">
        <v>0</v>
      </c>
      <c r="E27">
        <v>0</v>
      </c>
      <c r="F27" t="s">
        <v>134</v>
      </c>
    </row>
    <row r="28" spans="1:6" x14ac:dyDescent="0.25">
      <c r="A28">
        <v>8478</v>
      </c>
      <c r="B28">
        <v>0</v>
      </c>
      <c r="C28">
        <v>0</v>
      </c>
      <c r="D28">
        <v>0</v>
      </c>
      <c r="E28">
        <v>0</v>
      </c>
      <c r="F28" t="s">
        <v>134</v>
      </c>
    </row>
    <row r="29" spans="1:6" x14ac:dyDescent="0.25">
      <c r="A29">
        <v>8502</v>
      </c>
      <c r="B29">
        <v>0</v>
      </c>
      <c r="C29">
        <v>0</v>
      </c>
      <c r="D29">
        <v>0</v>
      </c>
      <c r="E29">
        <v>0</v>
      </c>
      <c r="F29" t="s">
        <v>134</v>
      </c>
    </row>
    <row r="30" spans="1:6" x14ac:dyDescent="0.25">
      <c r="A30">
        <v>8503</v>
      </c>
      <c r="B30">
        <v>0</v>
      </c>
      <c r="C30">
        <v>0</v>
      </c>
      <c r="D30">
        <v>0</v>
      </c>
      <c r="E30">
        <v>0</v>
      </c>
      <c r="F30" t="s">
        <v>134</v>
      </c>
    </row>
    <row r="31" spans="1:6" x14ac:dyDescent="0.25">
      <c r="A31">
        <v>8513</v>
      </c>
      <c r="B31">
        <v>0</v>
      </c>
      <c r="C31">
        <v>0</v>
      </c>
      <c r="D31">
        <v>0</v>
      </c>
      <c r="E31">
        <v>0</v>
      </c>
      <c r="F31" t="s">
        <v>134</v>
      </c>
    </row>
    <row r="32" spans="1:6" x14ac:dyDescent="0.25">
      <c r="A32">
        <v>8519</v>
      </c>
      <c r="B32">
        <v>0</v>
      </c>
      <c r="C32">
        <v>0</v>
      </c>
      <c r="D32">
        <v>0</v>
      </c>
      <c r="E32">
        <v>0</v>
      </c>
      <c r="F32" t="s">
        <v>134</v>
      </c>
    </row>
    <row r="33" spans="1:6" x14ac:dyDescent="0.25">
      <c r="A33">
        <v>8654</v>
      </c>
      <c r="B33">
        <v>0</v>
      </c>
      <c r="C33">
        <v>0</v>
      </c>
      <c r="D33">
        <v>0</v>
      </c>
      <c r="E33">
        <v>0</v>
      </c>
      <c r="F33" t="s">
        <v>134</v>
      </c>
    </row>
    <row r="34" spans="1:6" x14ac:dyDescent="0.25">
      <c r="A34">
        <v>8670</v>
      </c>
      <c r="B34">
        <v>0</v>
      </c>
      <c r="C34">
        <v>0</v>
      </c>
      <c r="D34">
        <v>0</v>
      </c>
      <c r="E34">
        <v>0</v>
      </c>
      <c r="F34" t="s">
        <v>134</v>
      </c>
    </row>
    <row r="35" spans="1:6" x14ac:dyDescent="0.25">
      <c r="A35">
        <v>8671</v>
      </c>
      <c r="B35">
        <v>0</v>
      </c>
      <c r="C35">
        <v>0</v>
      </c>
      <c r="D35">
        <v>0</v>
      </c>
      <c r="E35">
        <v>0</v>
      </c>
      <c r="F35" t="s">
        <v>134</v>
      </c>
    </row>
    <row r="36" spans="1:6" x14ac:dyDescent="0.25">
      <c r="A36">
        <v>8672</v>
      </c>
      <c r="B36">
        <v>0</v>
      </c>
      <c r="C36">
        <v>0</v>
      </c>
      <c r="D36">
        <v>0</v>
      </c>
      <c r="E36">
        <v>0</v>
      </c>
      <c r="F36" t="s">
        <v>134</v>
      </c>
    </row>
    <row r="37" spans="1:6" x14ac:dyDescent="0.25">
      <c r="A37">
        <v>8673</v>
      </c>
      <c r="B37">
        <v>0</v>
      </c>
      <c r="C37">
        <v>0</v>
      </c>
      <c r="D37">
        <v>0</v>
      </c>
      <c r="E37">
        <v>0</v>
      </c>
      <c r="F37" t="s">
        <v>134</v>
      </c>
    </row>
    <row r="38" spans="1:6" x14ac:dyDescent="0.25">
      <c r="A38">
        <v>8845</v>
      </c>
      <c r="B38">
        <v>0</v>
      </c>
      <c r="C38">
        <v>0</v>
      </c>
      <c r="D38">
        <v>0</v>
      </c>
      <c r="E38">
        <v>0</v>
      </c>
      <c r="F38" t="s">
        <v>134</v>
      </c>
    </row>
    <row r="39" spans="1:6" x14ac:dyDescent="0.25">
      <c r="A39">
        <v>9216</v>
      </c>
      <c r="B39">
        <v>0</v>
      </c>
      <c r="C39">
        <v>0</v>
      </c>
      <c r="D39">
        <v>0</v>
      </c>
      <c r="E39">
        <v>0</v>
      </c>
      <c r="F39" t="s">
        <v>134</v>
      </c>
    </row>
    <row r="40" spans="1:6" x14ac:dyDescent="0.25">
      <c r="A40">
        <v>9734</v>
      </c>
      <c r="B40">
        <v>0</v>
      </c>
      <c r="C40">
        <v>0</v>
      </c>
      <c r="D40">
        <v>0</v>
      </c>
      <c r="E40">
        <v>0</v>
      </c>
      <c r="F40" t="s">
        <v>134</v>
      </c>
    </row>
    <row r="41" spans="1:6" x14ac:dyDescent="0.25">
      <c r="A41">
        <v>9924</v>
      </c>
      <c r="B41">
        <v>0</v>
      </c>
      <c r="C41">
        <v>0</v>
      </c>
      <c r="D41">
        <v>0</v>
      </c>
      <c r="E41">
        <v>0</v>
      </c>
      <c r="F41" t="s">
        <v>134</v>
      </c>
    </row>
    <row r="42" spans="1:6" x14ac:dyDescent="0.25">
      <c r="A42">
        <v>9933</v>
      </c>
      <c r="B42">
        <v>0</v>
      </c>
      <c r="C42">
        <v>0</v>
      </c>
      <c r="D42">
        <v>0</v>
      </c>
      <c r="E42">
        <v>0</v>
      </c>
      <c r="F42" t="s">
        <v>134</v>
      </c>
    </row>
    <row r="43" spans="1:6" x14ac:dyDescent="0.25">
      <c r="A43">
        <v>10563</v>
      </c>
      <c r="B43">
        <v>0</v>
      </c>
      <c r="C43">
        <v>0</v>
      </c>
      <c r="D43">
        <v>0</v>
      </c>
      <c r="E43">
        <v>0</v>
      </c>
      <c r="F43" t="s">
        <v>134</v>
      </c>
    </row>
    <row r="44" spans="1:6" x14ac:dyDescent="0.25">
      <c r="A44">
        <v>10564</v>
      </c>
      <c r="B44">
        <v>0</v>
      </c>
      <c r="C44">
        <v>0</v>
      </c>
      <c r="D44">
        <v>0</v>
      </c>
      <c r="E44">
        <v>0</v>
      </c>
      <c r="F44" t="s">
        <v>134</v>
      </c>
    </row>
    <row r="45" spans="1:6" x14ac:dyDescent="0.25">
      <c r="A45">
        <v>11471</v>
      </c>
      <c r="B45">
        <v>0</v>
      </c>
      <c r="C45">
        <v>0</v>
      </c>
      <c r="D45">
        <v>0</v>
      </c>
      <c r="E45">
        <v>0</v>
      </c>
      <c r="F45" t="s">
        <v>134</v>
      </c>
    </row>
    <row r="46" spans="1:6" x14ac:dyDescent="0.25">
      <c r="A46">
        <v>11532</v>
      </c>
      <c r="B46">
        <v>0</v>
      </c>
      <c r="C46">
        <v>0</v>
      </c>
      <c r="D46">
        <v>0</v>
      </c>
      <c r="E46">
        <v>0</v>
      </c>
      <c r="F46" t="s">
        <v>134</v>
      </c>
    </row>
    <row r="47" spans="1:6" x14ac:dyDescent="0.25">
      <c r="A47">
        <v>11535</v>
      </c>
      <c r="B47">
        <v>0</v>
      </c>
      <c r="C47">
        <v>0</v>
      </c>
      <c r="D47">
        <v>0</v>
      </c>
      <c r="E47">
        <v>0</v>
      </c>
      <c r="F47" t="s">
        <v>134</v>
      </c>
    </row>
    <row r="48" spans="1:6" x14ac:dyDescent="0.25">
      <c r="A48">
        <v>11536</v>
      </c>
      <c r="B48">
        <v>0</v>
      </c>
      <c r="C48">
        <v>0</v>
      </c>
      <c r="D48">
        <v>0</v>
      </c>
      <c r="E48">
        <v>0</v>
      </c>
      <c r="F48" t="s">
        <v>134</v>
      </c>
    </row>
    <row r="49" spans="1:6" x14ac:dyDescent="0.25">
      <c r="A49">
        <v>11546</v>
      </c>
      <c r="B49">
        <v>0</v>
      </c>
      <c r="C49">
        <v>0</v>
      </c>
      <c r="D49">
        <v>0</v>
      </c>
      <c r="E49">
        <v>0</v>
      </c>
      <c r="F49" t="s">
        <v>134</v>
      </c>
    </row>
    <row r="50" spans="1:6" x14ac:dyDescent="0.25">
      <c r="A50">
        <v>11785</v>
      </c>
      <c r="B50">
        <v>0</v>
      </c>
      <c r="C50">
        <v>0</v>
      </c>
      <c r="D50">
        <v>0</v>
      </c>
      <c r="E50">
        <v>0</v>
      </c>
      <c r="F50" t="s">
        <v>134</v>
      </c>
    </row>
    <row r="51" spans="1:6" x14ac:dyDescent="0.25">
      <c r="A51">
        <v>11851</v>
      </c>
      <c r="B51">
        <v>0</v>
      </c>
      <c r="C51">
        <v>0</v>
      </c>
      <c r="D51">
        <v>0</v>
      </c>
      <c r="E51">
        <v>0</v>
      </c>
      <c r="F51" t="s">
        <v>134</v>
      </c>
    </row>
    <row r="52" spans="1:6" x14ac:dyDescent="0.25">
      <c r="A52">
        <v>12128</v>
      </c>
      <c r="B52">
        <v>0</v>
      </c>
      <c r="C52">
        <v>0</v>
      </c>
      <c r="D52">
        <v>0</v>
      </c>
      <c r="E52">
        <v>0</v>
      </c>
      <c r="F52" t="s">
        <v>134</v>
      </c>
    </row>
    <row r="53" spans="1:6" x14ac:dyDescent="0.25">
      <c r="A53">
        <v>12682</v>
      </c>
      <c r="B53">
        <v>0</v>
      </c>
      <c r="C53">
        <v>0</v>
      </c>
      <c r="D53">
        <v>0</v>
      </c>
      <c r="E53">
        <v>0</v>
      </c>
      <c r="F53" t="s">
        <v>134</v>
      </c>
    </row>
    <row r="54" spans="1:6" x14ac:dyDescent="0.25">
      <c r="A54">
        <v>12683</v>
      </c>
      <c r="B54">
        <v>0</v>
      </c>
      <c r="C54">
        <v>0</v>
      </c>
      <c r="D54">
        <v>0</v>
      </c>
      <c r="E54">
        <v>0</v>
      </c>
      <c r="F54" t="s">
        <v>134</v>
      </c>
    </row>
    <row r="55" spans="1:6" x14ac:dyDescent="0.25">
      <c r="A55">
        <v>12684</v>
      </c>
      <c r="B55">
        <v>0</v>
      </c>
      <c r="C55">
        <v>0</v>
      </c>
      <c r="D55">
        <v>0</v>
      </c>
      <c r="E55">
        <v>0</v>
      </c>
      <c r="F55" t="s">
        <v>134</v>
      </c>
    </row>
    <row r="56" spans="1:6" x14ac:dyDescent="0.25">
      <c r="A56">
        <v>13005</v>
      </c>
      <c r="B56">
        <v>0</v>
      </c>
      <c r="C56">
        <v>0</v>
      </c>
      <c r="D56">
        <v>0</v>
      </c>
      <c r="E56">
        <v>0</v>
      </c>
      <c r="F56" t="s">
        <v>134</v>
      </c>
    </row>
    <row r="57" spans="1:6" x14ac:dyDescent="0.25">
      <c r="A57">
        <v>13164</v>
      </c>
      <c r="B57">
        <v>0</v>
      </c>
      <c r="C57">
        <v>0</v>
      </c>
      <c r="D57">
        <v>0</v>
      </c>
      <c r="E57">
        <v>0</v>
      </c>
      <c r="F57" t="s">
        <v>134</v>
      </c>
    </row>
    <row r="58" spans="1:6" x14ac:dyDescent="0.25">
      <c r="A58">
        <v>13362</v>
      </c>
      <c r="B58">
        <v>0</v>
      </c>
      <c r="C58">
        <v>0</v>
      </c>
      <c r="D58">
        <v>0</v>
      </c>
      <c r="E58">
        <v>0</v>
      </c>
      <c r="F58" t="s">
        <v>134</v>
      </c>
    </row>
    <row r="59" spans="1:6" x14ac:dyDescent="0.25">
      <c r="A59">
        <v>13368</v>
      </c>
      <c r="B59">
        <v>0</v>
      </c>
      <c r="C59">
        <v>0</v>
      </c>
      <c r="D59">
        <v>0</v>
      </c>
      <c r="E59">
        <v>0</v>
      </c>
      <c r="F59" t="s">
        <v>134</v>
      </c>
    </row>
    <row r="60" spans="1:6" x14ac:dyDescent="0.25">
      <c r="A60">
        <v>13370</v>
      </c>
      <c r="B60">
        <v>0</v>
      </c>
      <c r="C60">
        <v>0</v>
      </c>
      <c r="D60">
        <v>0</v>
      </c>
      <c r="E60">
        <v>0</v>
      </c>
      <c r="F60" t="s">
        <v>134</v>
      </c>
    </row>
    <row r="61" spans="1:6" x14ac:dyDescent="0.25">
      <c r="A61">
        <v>13422</v>
      </c>
      <c r="B61">
        <v>0</v>
      </c>
      <c r="C61">
        <v>0</v>
      </c>
      <c r="D61">
        <v>0</v>
      </c>
      <c r="E61">
        <v>0</v>
      </c>
      <c r="F61" t="s">
        <v>134</v>
      </c>
    </row>
    <row r="62" spans="1:6" x14ac:dyDescent="0.25">
      <c r="A62">
        <v>13423</v>
      </c>
      <c r="B62">
        <v>0</v>
      </c>
      <c r="C62">
        <v>0</v>
      </c>
      <c r="D62">
        <v>0</v>
      </c>
      <c r="E62">
        <v>0</v>
      </c>
      <c r="F62" t="s">
        <v>134</v>
      </c>
    </row>
    <row r="63" spans="1:6" x14ac:dyDescent="0.25">
      <c r="A63">
        <v>13432</v>
      </c>
      <c r="B63">
        <v>0</v>
      </c>
      <c r="C63">
        <v>0</v>
      </c>
      <c r="D63">
        <v>0</v>
      </c>
      <c r="E63">
        <v>0</v>
      </c>
      <c r="F63" t="s">
        <v>134</v>
      </c>
    </row>
    <row r="64" spans="1:6" x14ac:dyDescent="0.25">
      <c r="A64">
        <v>13433</v>
      </c>
      <c r="B64">
        <v>0</v>
      </c>
      <c r="C64">
        <v>0</v>
      </c>
      <c r="D64">
        <v>0</v>
      </c>
      <c r="E64">
        <v>0</v>
      </c>
      <c r="F64" t="s">
        <v>134</v>
      </c>
    </row>
    <row r="65" spans="1:6" x14ac:dyDescent="0.25">
      <c r="A65">
        <v>13434</v>
      </c>
      <c r="B65">
        <v>0</v>
      </c>
      <c r="C65">
        <v>0</v>
      </c>
      <c r="D65">
        <v>0</v>
      </c>
      <c r="E65">
        <v>0</v>
      </c>
      <c r="F65" t="s">
        <v>134</v>
      </c>
    </row>
    <row r="66" spans="1:6" x14ac:dyDescent="0.25">
      <c r="A66">
        <v>13453</v>
      </c>
      <c r="B66">
        <v>0</v>
      </c>
      <c r="C66">
        <v>0</v>
      </c>
      <c r="D66">
        <v>0</v>
      </c>
      <c r="E66">
        <v>0</v>
      </c>
      <c r="F66" t="s">
        <v>134</v>
      </c>
    </row>
    <row r="67" spans="1:6" x14ac:dyDescent="0.25">
      <c r="A67">
        <v>13454</v>
      </c>
      <c r="B67">
        <v>0</v>
      </c>
      <c r="C67">
        <v>0</v>
      </c>
      <c r="D67">
        <v>0</v>
      </c>
      <c r="E67">
        <v>0</v>
      </c>
      <c r="F67" t="s">
        <v>134</v>
      </c>
    </row>
    <row r="68" spans="1:6" x14ac:dyDescent="0.25">
      <c r="A68">
        <v>13455</v>
      </c>
      <c r="B68">
        <v>0</v>
      </c>
      <c r="C68">
        <v>0</v>
      </c>
      <c r="D68">
        <v>0</v>
      </c>
      <c r="E68">
        <v>0</v>
      </c>
      <c r="F68" t="s">
        <v>134</v>
      </c>
    </row>
    <row r="69" spans="1:6" x14ac:dyDescent="0.25">
      <c r="A69">
        <v>13488</v>
      </c>
      <c r="B69">
        <v>0</v>
      </c>
      <c r="C69">
        <v>0</v>
      </c>
      <c r="D69">
        <v>0</v>
      </c>
      <c r="E69">
        <v>0</v>
      </c>
      <c r="F69" t="s">
        <v>134</v>
      </c>
    </row>
    <row r="70" spans="1:6" x14ac:dyDescent="0.25">
      <c r="A70">
        <v>13526</v>
      </c>
      <c r="B70">
        <v>0</v>
      </c>
      <c r="C70">
        <v>0</v>
      </c>
      <c r="D70">
        <v>0</v>
      </c>
      <c r="E70">
        <v>0</v>
      </c>
      <c r="F70" t="s">
        <v>134</v>
      </c>
    </row>
    <row r="71" spans="1:6" x14ac:dyDescent="0.25">
      <c r="A71">
        <v>13546</v>
      </c>
      <c r="B71">
        <v>0</v>
      </c>
      <c r="C71">
        <v>0</v>
      </c>
      <c r="D71">
        <v>0</v>
      </c>
      <c r="E71">
        <v>0</v>
      </c>
      <c r="F71" t="s">
        <v>134</v>
      </c>
    </row>
    <row r="72" spans="1:6" x14ac:dyDescent="0.25">
      <c r="A72">
        <v>13549</v>
      </c>
      <c r="B72">
        <v>0</v>
      </c>
      <c r="C72">
        <v>0</v>
      </c>
      <c r="D72">
        <v>0</v>
      </c>
      <c r="E72">
        <v>0</v>
      </c>
      <c r="F72" t="s">
        <v>134</v>
      </c>
    </row>
    <row r="73" spans="1:6" x14ac:dyDescent="0.25">
      <c r="A73">
        <v>13580</v>
      </c>
      <c r="B73">
        <v>0</v>
      </c>
      <c r="C73">
        <v>0</v>
      </c>
      <c r="D73">
        <v>0</v>
      </c>
      <c r="E73">
        <v>0</v>
      </c>
      <c r="F73" t="s">
        <v>134</v>
      </c>
    </row>
    <row r="74" spans="1:6" x14ac:dyDescent="0.25">
      <c r="A74">
        <v>13583</v>
      </c>
      <c r="B74">
        <v>0</v>
      </c>
      <c r="C74">
        <v>0</v>
      </c>
      <c r="D74">
        <v>0</v>
      </c>
      <c r="E74">
        <v>0</v>
      </c>
      <c r="F74" t="s">
        <v>134</v>
      </c>
    </row>
    <row r="75" spans="1:6" x14ac:dyDescent="0.25">
      <c r="A75">
        <v>13585</v>
      </c>
      <c r="B75">
        <v>0</v>
      </c>
      <c r="C75">
        <v>0</v>
      </c>
      <c r="D75">
        <v>0</v>
      </c>
      <c r="E75">
        <v>0</v>
      </c>
      <c r="F75" t="s">
        <v>134</v>
      </c>
    </row>
    <row r="76" spans="1:6" x14ac:dyDescent="0.25">
      <c r="A76">
        <v>13599</v>
      </c>
      <c r="B76">
        <v>0</v>
      </c>
      <c r="C76">
        <v>0</v>
      </c>
      <c r="D76">
        <v>0</v>
      </c>
      <c r="E76">
        <v>0</v>
      </c>
      <c r="F76" t="s">
        <v>134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1F5C-7168-4B56-8A3C-110A698EE734}">
  <dimension ref="A1:D2"/>
  <sheetViews>
    <sheetView workbookViewId="0">
      <selection activeCell="D7" sqref="D7"/>
    </sheetView>
  </sheetViews>
  <sheetFormatPr baseColWidth="10" defaultRowHeight="15" x14ac:dyDescent="0.25"/>
  <cols>
    <col min="1" max="1" width="8.42578125" bestFit="1" customWidth="1"/>
    <col min="2" max="2" width="11" bestFit="1" customWidth="1"/>
    <col min="3" max="3" width="7.42578125" bestFit="1" customWidth="1"/>
    <col min="4" max="4" width="11.140625" bestFit="1" customWidth="1"/>
  </cols>
  <sheetData>
    <row r="1" spans="1:4" x14ac:dyDescent="0.25">
      <c r="A1" t="s">
        <v>128</v>
      </c>
      <c r="B1" t="s">
        <v>129</v>
      </c>
      <c r="C1" t="s">
        <v>37</v>
      </c>
      <c r="D1" t="s">
        <v>130</v>
      </c>
    </row>
    <row r="2" spans="1:4" x14ac:dyDescent="0.25">
      <c r="A2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76B3-8C09-47ED-94E1-3353EFFB411B}">
  <sheetPr codeName="Hoja1"/>
  <dimension ref="B2:O21"/>
  <sheetViews>
    <sheetView tabSelected="1" workbookViewId="0">
      <selection activeCell="C4" sqref="C4"/>
    </sheetView>
  </sheetViews>
  <sheetFormatPr baseColWidth="10" defaultRowHeight="15" x14ac:dyDescent="0.25"/>
  <cols>
    <col min="1" max="1" width="1.7109375" customWidth="1"/>
    <col min="2" max="2" width="17.7109375" customWidth="1"/>
    <col min="5" max="5" width="81.7109375" bestFit="1" customWidth="1"/>
    <col min="6" max="6" width="90.140625" bestFit="1" customWidth="1"/>
    <col min="7" max="7" width="71.85546875" bestFit="1" customWidth="1"/>
    <col min="8" max="8" width="106.85546875" bestFit="1" customWidth="1"/>
    <col min="9" max="9" width="106.85546875" customWidth="1"/>
    <col min="10" max="10" width="15" bestFit="1" customWidth="1"/>
  </cols>
  <sheetData>
    <row r="2" spans="2:15" x14ac:dyDescent="0.25">
      <c r="B2" t="s">
        <v>0</v>
      </c>
      <c r="C2" t="s">
        <v>1</v>
      </c>
      <c r="D2" t="s">
        <v>5</v>
      </c>
      <c r="E2" t="s">
        <v>33</v>
      </c>
      <c r="F2" t="s">
        <v>34</v>
      </c>
      <c r="G2" t="s">
        <v>35</v>
      </c>
      <c r="H2" t="s">
        <v>36</v>
      </c>
      <c r="I2" t="s">
        <v>53</v>
      </c>
      <c r="J2" t="s">
        <v>56</v>
      </c>
      <c r="K2" t="s">
        <v>4</v>
      </c>
      <c r="L2" t="s">
        <v>54</v>
      </c>
      <c r="M2" t="s">
        <v>55</v>
      </c>
      <c r="N2" t="s">
        <v>3</v>
      </c>
      <c r="O2" t="s">
        <v>2</v>
      </c>
    </row>
    <row r="3" spans="2:15" x14ac:dyDescent="0.25">
      <c r="B3" t="s">
        <v>134</v>
      </c>
      <c r="C3" t="s">
        <v>135</v>
      </c>
      <c r="D3" t="s">
        <v>60</v>
      </c>
      <c r="E3" t="str">
        <f>"C:\Users\CORP.PROCESOS\Box\OPERACIONES\"&amp;PARAMETROS[[#This Row],[SOCIEDAD]]&amp;"\BD "&amp;PARAMETROS[[#This Row],[SOCIEDAD]]&amp;"\BD "&amp;PARAMETROS[[#This Row],[OPERACION]]&amp;"\"&amp;PARAMETROS[[#This Row],[OPERACION]]&amp;" - Base.xlsm"</f>
        <v>C:\Users\CORP.PROCESOS\Box\OPERACIONES\GB\BD GB\BD GBCFR2\GBCFR2 - Base.xlsm</v>
      </c>
      <c r="F3" t="str">
        <f>"C:\Users\CORP.PROCESOS\Box\OPERACIONES\"&amp;PARAMETROS[[#This Row],[SOCIEDAD]]&amp;"\RQ "&amp;PARAMETROS[[#This Row],[SOCIEDAD]]&amp;"\"&amp;PARAMETROS[[#This Row],[SOCIEDAD]]&amp;" - Ultimo Costo - Paso 2.xlsx"</f>
        <v>C:\Users\CORP.PROCESOS\Box\OPERACIONES\GB\RQ GB\GB - Ultimo Costo - Paso 2.xlsx</v>
      </c>
      <c r="G3" t="str">
        <f>"C:\Users\CORP.PROCESOS\Box\OPERACIONES\COMUNES\Maestros\Items.xlsx"</f>
        <v>C:\Users\CORP.PROCESOS\Box\OPERACIONES\COMUNES\Maestros\Items.xlsx</v>
      </c>
      <c r="H3" t="str">
        <f ca="1">"C:\Users\CORP.PROCESOS\Box\EBC\EBC RQ VALIDADAS\RQ VALIDADA "&amp;PARAMETROS[[#This Row],[OPERACION]]&amp;"\"&amp;PARAMETROS[[#This Row],[OPERACION]]&amp;" Requisiciones - Semana "&amp;PARAMETROS[[#This Row],[AÑOACT]]&amp;" "&amp;PARAMETROS[[#This Row],[SEMACT]]&amp;".xlsm"</f>
        <v>C:\Users\CORP.PROCESOS\Box\EBC\EBC RQ VALIDADAS\RQ VALIDADA GBCFR2\GBCFR2 Requisiciones - Semana 2026 42.xlsm</v>
      </c>
      <c r="I3" t="str">
        <f ca="1">"C:\Users\CORP.PROCESOS\Box\EBC\EBC RQ VALIDADAS\RQ VALIDADA "&amp;PARAMETROS[[#This Row],[OPERACION]]&amp;"\"&amp;PARAMETROS[[#This Row],[OPERACION]]&amp;" Requisiciones - Semana "&amp;PARAMETROS[[#This Row],[AÑOANT]]&amp;" "&amp;PARAMETROS[[#This Row],[SEMANT]]&amp;".xlsm"</f>
        <v>C:\Users\CORP.PROCESOS\Box\EBC\EBC RQ VALIDADAS\RQ VALIDADA GBCFR2\GBCFR2 Requisiciones - Semana 2026 41.xlsm</v>
      </c>
      <c r="J3">
        <f ca="1">PARAMETROS[[#This Row],[AÑOANT]]*100+PARAMETROS[[#This Row],[SEMANT]]</f>
        <v>202641</v>
      </c>
      <c r="K3">
        <f ca="1">C20*100+C21</f>
        <v>202632</v>
      </c>
      <c r="L3">
        <f ca="1">IF(PARAMETROS[[#This Row],[SEMACT]]=1,PARAMETROS[[#This Row],[AÑOACT]]-1,PARAMETROS[[#This Row],[AÑOACT]])</f>
        <v>2026</v>
      </c>
      <c r="M3">
        <f ca="1">IF(PARAMETROS[[#This Row],[SEMACT]]=1,52,PARAMETROS[[#This Row],[SEMACT]]-1)</f>
        <v>41</v>
      </c>
      <c r="N3">
        <f ca="1">IF(WEEKNUM(TODAY(),11)=53,YEAR(TODAY())+1,YEAR(TODAY()))</f>
        <v>2026</v>
      </c>
      <c r="O3">
        <f ca="1">IF(WEEKNUM(TODAY(),11)=53,1,WEEKNUM(TODAY(),11))</f>
        <v>42</v>
      </c>
    </row>
    <row r="6" spans="2:15" x14ac:dyDescent="0.25">
      <c r="B6" t="s">
        <v>7</v>
      </c>
    </row>
    <row r="7" spans="2:15" x14ac:dyDescent="0.25">
      <c r="B7" t="s">
        <v>11</v>
      </c>
    </row>
    <row r="8" spans="2:15" x14ac:dyDescent="0.25">
      <c r="B8" t="s">
        <v>10</v>
      </c>
    </row>
    <row r="9" spans="2:15" x14ac:dyDescent="0.25">
      <c r="B9" t="s">
        <v>12</v>
      </c>
    </row>
    <row r="12" spans="2:15" x14ac:dyDescent="0.25">
      <c r="B12" t="s">
        <v>40</v>
      </c>
    </row>
    <row r="13" spans="2:15" x14ac:dyDescent="0.25">
      <c r="B13" t="s">
        <v>29</v>
      </c>
    </row>
    <row r="14" spans="2:15" x14ac:dyDescent="0.25">
      <c r="B14" t="s">
        <v>30</v>
      </c>
    </row>
    <row r="15" spans="2:15" x14ac:dyDescent="0.25">
      <c r="B15" t="s">
        <v>32</v>
      </c>
    </row>
    <row r="17" spans="2:3" x14ac:dyDescent="0.25">
      <c r="B17" t="s">
        <v>43</v>
      </c>
      <c r="C17" s="1">
        <f ca="1">TODAY()</f>
        <v>46308</v>
      </c>
    </row>
    <row r="18" spans="2:3" x14ac:dyDescent="0.25">
      <c r="B18" t="s">
        <v>44</v>
      </c>
      <c r="C18" s="1">
        <f ca="1">C17-WEEKDAY(C17,11)+1</f>
        <v>46307</v>
      </c>
    </row>
    <row r="19" spans="2:3" x14ac:dyDescent="0.25">
      <c r="B19" t="s">
        <v>59</v>
      </c>
      <c r="C19" s="1">
        <f ca="1">C18-7*10</f>
        <v>46237</v>
      </c>
    </row>
    <row r="20" spans="2:3" x14ac:dyDescent="0.25">
      <c r="B20" t="s">
        <v>45</v>
      </c>
      <c r="C20">
        <f ca="1">IF(WEEKNUM(C19,11)=53,YEAR(C19)+1,YEAR(C19))</f>
        <v>2026</v>
      </c>
    </row>
    <row r="21" spans="2:3" x14ac:dyDescent="0.25">
      <c r="B21" t="s">
        <v>46</v>
      </c>
      <c r="C21">
        <f ca="1">IF(WEEKNUM(C19,11)=53,1,WEEKNUM(C19,11))</f>
        <v>32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79AF2C-35BA-4C4E-A74B-4262D8FAAA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Items</vt:lpstr>
      <vt:lpstr>Costos</vt:lpstr>
      <vt:lpstr>Kardex</vt:lpstr>
      <vt:lpstr>Requisiciones</vt:lpstr>
      <vt:lpstr>DosSemanas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alvaro.cornejo@ersac.pe</dc:creator>
  <cp:lastModifiedBy>alvaro.cornejo@ersac.pe</cp:lastModifiedBy>
  <dcterms:created xsi:type="dcterms:W3CDTF">2026-05-16T20:54:04Z</dcterms:created>
  <dcterms:modified xsi:type="dcterms:W3CDTF">2026-10-14T00:32:23Z</dcterms:modified>
</cp:coreProperties>
</file>